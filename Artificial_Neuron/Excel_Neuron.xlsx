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tgmcnishant/Downloads/"/>
    </mc:Choice>
  </mc:AlternateContent>
  <xr:revisionPtr revIDLastSave="0" documentId="13_ncr:1_{FC70C50D-B2C1-FD40-B382-44E669F71085}" xr6:coauthVersionLast="47" xr6:coauthVersionMax="47" xr10:uidLastSave="{00000000-0000-0000-0000-000000000000}"/>
  <bookViews>
    <workbookView xWindow="0" yWindow="660" windowWidth="30240" windowHeight="17920" activeTab="2" xr2:uid="{18E03AD9-31D4-064F-AE60-CEB6457BC1B3}"/>
  </bookViews>
  <sheets>
    <sheet name="Neuron Design" sheetId="1" r:id="rId1"/>
    <sheet name="Training Data" sheetId="2" r:id="rId2"/>
    <sheet name="Neuron Calculator" sheetId="3" r:id="rId3"/>
  </sheets>
  <externalReferences>
    <externalReference r:id="rId4"/>
  </externalReferenc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0" i="3" l="1"/>
  <c r="Z20" i="3"/>
  <c r="Y20" i="3"/>
  <c r="X20" i="3"/>
  <c r="W20" i="3"/>
  <c r="V20" i="3"/>
  <c r="U20" i="3"/>
  <c r="T20" i="3"/>
  <c r="S20" i="3"/>
  <c r="R20" i="3"/>
  <c r="Q20" i="3"/>
  <c r="P20" i="3"/>
  <c r="O20" i="3"/>
  <c r="N20" i="3"/>
  <c r="M20" i="3"/>
  <c r="L20" i="3"/>
  <c r="K20" i="3"/>
  <c r="J20" i="3"/>
  <c r="I20" i="3"/>
  <c r="H20" i="3"/>
  <c r="G20" i="3"/>
  <c r="F20" i="3"/>
  <c r="E20" i="3"/>
  <c r="D20" i="3"/>
  <c r="C20" i="3"/>
  <c r="AA19" i="3"/>
  <c r="Z19" i="3"/>
  <c r="Y19" i="3"/>
  <c r="X19" i="3"/>
  <c r="W19" i="3"/>
  <c r="V19" i="3"/>
  <c r="U19" i="3"/>
  <c r="T19" i="3"/>
  <c r="S19" i="3"/>
  <c r="R19" i="3"/>
  <c r="Q19" i="3"/>
  <c r="P19" i="3"/>
  <c r="O19" i="3"/>
  <c r="N19" i="3"/>
  <c r="M19" i="3"/>
  <c r="L19" i="3"/>
  <c r="K19" i="3"/>
  <c r="J19" i="3"/>
  <c r="I19" i="3"/>
  <c r="H19" i="3"/>
  <c r="G19" i="3"/>
  <c r="F19" i="3"/>
  <c r="E19" i="3"/>
  <c r="D19" i="3"/>
  <c r="C19" i="3"/>
  <c r="AA18" i="3"/>
  <c r="Z18" i="3"/>
  <c r="Y18" i="3"/>
  <c r="X18" i="3"/>
  <c r="W18" i="3"/>
  <c r="V18" i="3"/>
  <c r="U18" i="3"/>
  <c r="T18" i="3"/>
  <c r="S18" i="3"/>
  <c r="R18" i="3"/>
  <c r="Q18" i="3"/>
  <c r="P18" i="3"/>
  <c r="O18" i="3"/>
  <c r="N18" i="3"/>
  <c r="M18" i="3"/>
  <c r="L18" i="3"/>
  <c r="K18" i="3"/>
  <c r="J18" i="3"/>
  <c r="I18" i="3"/>
  <c r="H18" i="3"/>
  <c r="G18" i="3"/>
  <c r="F18" i="3"/>
  <c r="E18" i="3"/>
  <c r="D18" i="3"/>
  <c r="C18" i="3"/>
  <c r="AA17" i="3"/>
  <c r="Z17" i="3"/>
  <c r="Y17" i="3"/>
  <c r="X17" i="3"/>
  <c r="W17" i="3"/>
  <c r="V17" i="3"/>
  <c r="U17" i="3"/>
  <c r="T17" i="3"/>
  <c r="S17" i="3"/>
  <c r="R17" i="3"/>
  <c r="Q17" i="3"/>
  <c r="P17" i="3"/>
  <c r="O17" i="3"/>
  <c r="N17" i="3"/>
  <c r="M17" i="3"/>
  <c r="L17" i="3"/>
  <c r="K17" i="3"/>
  <c r="J17" i="3"/>
  <c r="I17" i="3"/>
  <c r="H17" i="3"/>
  <c r="G17" i="3"/>
  <c r="F17" i="3"/>
  <c r="E17" i="3"/>
  <c r="D17" i="3"/>
  <c r="C17" i="3"/>
  <c r="E13" i="3"/>
  <c r="F13" i="3" s="1"/>
  <c r="G13" i="3" s="1"/>
  <c r="H13" i="3" s="1"/>
  <c r="I13" i="3" s="1"/>
  <c r="J13" i="3" s="1"/>
  <c r="K13" i="3" s="1"/>
  <c r="L13" i="3" s="1"/>
  <c r="M13" i="3" s="1"/>
  <c r="N13" i="3" s="1"/>
  <c r="O13" i="3" s="1"/>
  <c r="P13" i="3" s="1"/>
  <c r="Q13" i="3" s="1"/>
  <c r="R13" i="3" s="1"/>
  <c r="S13" i="3" s="1"/>
  <c r="T13" i="3" s="1"/>
  <c r="U13" i="3" s="1"/>
  <c r="V13" i="3" s="1"/>
  <c r="W13" i="3" s="1"/>
  <c r="X13" i="3" s="1"/>
  <c r="Y13" i="3" s="1"/>
  <c r="Z13" i="3" s="1"/>
  <c r="AA13" i="3" s="1"/>
  <c r="D13" i="3"/>
  <c r="C23" i="3" l="1"/>
  <c r="C24" i="3" s="1"/>
  <c r="C25" i="3" s="1"/>
  <c r="C26" i="3" s="1"/>
  <c r="C30" i="3" l="1"/>
  <c r="C31" i="3"/>
  <c r="C27" i="3"/>
  <c r="C34" i="3" l="1"/>
  <c r="C39" i="3" s="1"/>
  <c r="D9" i="3" s="1"/>
  <c r="C35" i="3"/>
  <c r="C40" i="3" s="1"/>
  <c r="D10" i="3" s="1"/>
  <c r="C33" i="3"/>
  <c r="C38" i="3" s="1"/>
  <c r="D8" i="3" s="1"/>
  <c r="D23" i="3" l="1"/>
  <c r="D24" i="3" s="1"/>
  <c r="D25" i="3" l="1"/>
  <c r="D26" i="3" s="1"/>
  <c r="D30" i="3"/>
  <c r="D31" i="3" l="1"/>
  <c r="D27" i="3"/>
  <c r="D34" i="3" l="1"/>
  <c r="D39" i="3" s="1"/>
  <c r="E9" i="3" s="1"/>
  <c r="D35" i="3"/>
  <c r="D40" i="3" s="1"/>
  <c r="E10" i="3" s="1"/>
  <c r="D33" i="3"/>
  <c r="D38" i="3" s="1"/>
  <c r="E8" i="3" s="1"/>
  <c r="E23" i="3" l="1"/>
  <c r="E24" i="3" s="1"/>
  <c r="E25" i="3" l="1"/>
  <c r="E26" i="3" s="1"/>
  <c r="E30" i="3"/>
  <c r="E31" i="3" l="1"/>
  <c r="E27" i="3"/>
  <c r="E34" i="3" l="1"/>
  <c r="E39" i="3" s="1"/>
  <c r="F9" i="3" s="1"/>
  <c r="E35" i="3"/>
  <c r="E40" i="3" s="1"/>
  <c r="F10" i="3" s="1"/>
  <c r="E33" i="3"/>
  <c r="E38" i="3" s="1"/>
  <c r="F8" i="3" s="1"/>
  <c r="F23" i="3" l="1"/>
  <c r="F24" i="3" s="1"/>
  <c r="F25" i="3" l="1"/>
  <c r="F26" i="3" s="1"/>
  <c r="F30" i="3"/>
  <c r="F31" i="3" l="1"/>
  <c r="F27" i="3"/>
  <c r="F34" i="3" l="1"/>
  <c r="F39" i="3" s="1"/>
  <c r="G9" i="3" s="1"/>
  <c r="F33" i="3"/>
  <c r="F38" i="3" s="1"/>
  <c r="G8" i="3" s="1"/>
  <c r="F35" i="3"/>
  <c r="F40" i="3" s="1"/>
  <c r="G10" i="3" s="1"/>
  <c r="G23" i="3" l="1"/>
  <c r="G24" i="3" s="1"/>
  <c r="G25" i="3" l="1"/>
  <c r="G26" i="3" s="1"/>
  <c r="G30" i="3"/>
  <c r="G31" i="3" l="1"/>
  <c r="G27" i="3"/>
  <c r="G34" i="3" l="1"/>
  <c r="G39" i="3" s="1"/>
  <c r="H9" i="3" s="1"/>
  <c r="G33" i="3"/>
  <c r="G38" i="3" s="1"/>
  <c r="H8" i="3" s="1"/>
  <c r="G35" i="3"/>
  <c r="G40" i="3" s="1"/>
  <c r="H10" i="3" s="1"/>
  <c r="H23" i="3" l="1"/>
  <c r="H24" i="3" s="1"/>
  <c r="H30" i="3" l="1"/>
  <c r="H25" i="3"/>
  <c r="H26" i="3" s="1"/>
  <c r="H31" i="3" l="1"/>
  <c r="H27" i="3"/>
  <c r="H35" i="3" l="1"/>
  <c r="H40" i="3" s="1"/>
  <c r="I10" i="3" s="1"/>
  <c r="H33" i="3"/>
  <c r="H38" i="3" s="1"/>
  <c r="I8" i="3" s="1"/>
  <c r="H34" i="3"/>
  <c r="H39" i="3" s="1"/>
  <c r="I9" i="3" s="1"/>
  <c r="I23" i="3" l="1"/>
  <c r="I24" i="3" s="1"/>
  <c r="I30" i="3" l="1"/>
  <c r="I25" i="3"/>
  <c r="I26" i="3" s="1"/>
  <c r="I31" i="3" l="1"/>
  <c r="I27" i="3"/>
  <c r="I35" i="3" l="1"/>
  <c r="I40" i="3" s="1"/>
  <c r="J10" i="3" s="1"/>
  <c r="I33" i="3"/>
  <c r="I38" i="3" s="1"/>
  <c r="J8" i="3" s="1"/>
  <c r="I34" i="3"/>
  <c r="I39" i="3" s="1"/>
  <c r="J9" i="3" s="1"/>
  <c r="J23" i="3" l="1"/>
  <c r="J24" i="3" s="1"/>
  <c r="J30" i="3" l="1"/>
  <c r="J25" i="3"/>
  <c r="J26" i="3" s="1"/>
  <c r="J31" i="3" l="1"/>
  <c r="J27" i="3"/>
  <c r="J35" i="3" l="1"/>
  <c r="J40" i="3" s="1"/>
  <c r="K10" i="3" s="1"/>
  <c r="J33" i="3"/>
  <c r="J38" i="3" s="1"/>
  <c r="K8" i="3" s="1"/>
  <c r="J34" i="3"/>
  <c r="J39" i="3" s="1"/>
  <c r="K9" i="3" s="1"/>
  <c r="K23" i="3" l="1"/>
  <c r="K24" i="3" s="1"/>
  <c r="K30" i="3" l="1"/>
  <c r="K25" i="3"/>
  <c r="K26" i="3" s="1"/>
  <c r="K31" i="3" l="1"/>
  <c r="K27" i="3"/>
  <c r="K35" i="3" l="1"/>
  <c r="K40" i="3" s="1"/>
  <c r="L10" i="3" s="1"/>
  <c r="K33" i="3"/>
  <c r="K38" i="3" s="1"/>
  <c r="L8" i="3" s="1"/>
  <c r="K34" i="3"/>
  <c r="K39" i="3" s="1"/>
  <c r="L9" i="3" s="1"/>
  <c r="L23" i="3" l="1"/>
  <c r="L24" i="3" s="1"/>
  <c r="L30" i="3" l="1"/>
  <c r="L25" i="3"/>
  <c r="L26" i="3" s="1"/>
  <c r="L31" i="3" l="1"/>
  <c r="L27" i="3"/>
  <c r="L35" i="3" l="1"/>
  <c r="L40" i="3" s="1"/>
  <c r="M10" i="3" s="1"/>
  <c r="L33" i="3"/>
  <c r="L38" i="3" s="1"/>
  <c r="M8" i="3" s="1"/>
  <c r="L34" i="3"/>
  <c r="L39" i="3" s="1"/>
  <c r="M9" i="3" s="1"/>
  <c r="M23" i="3" l="1"/>
  <c r="M24" i="3" s="1"/>
  <c r="M25" i="3" l="1"/>
  <c r="M26" i="3" s="1"/>
  <c r="M30" i="3"/>
  <c r="M31" i="3" l="1"/>
  <c r="M27" i="3"/>
  <c r="M34" i="3" l="1"/>
  <c r="M39" i="3" s="1"/>
  <c r="N9" i="3" s="1"/>
  <c r="M35" i="3"/>
  <c r="M40" i="3" s="1"/>
  <c r="N10" i="3" s="1"/>
  <c r="M33" i="3"/>
  <c r="M38" i="3" s="1"/>
  <c r="N8" i="3" s="1"/>
  <c r="N23" i="3" l="1"/>
  <c r="N24" i="3" s="1"/>
  <c r="N25" i="3" l="1"/>
  <c r="N26" i="3" s="1"/>
  <c r="N30" i="3"/>
  <c r="N31" i="3" l="1"/>
  <c r="N27" i="3"/>
  <c r="N34" i="3" l="1"/>
  <c r="N39" i="3" s="1"/>
  <c r="O9" i="3" s="1"/>
  <c r="N35" i="3"/>
  <c r="N40" i="3" s="1"/>
  <c r="O10" i="3" s="1"/>
  <c r="N33" i="3"/>
  <c r="N38" i="3" s="1"/>
  <c r="O8" i="3" s="1"/>
  <c r="O23" i="3" l="1"/>
  <c r="O24" i="3" s="1"/>
  <c r="O25" i="3" l="1"/>
  <c r="O26" i="3" s="1"/>
  <c r="O30" i="3"/>
  <c r="O31" i="3" l="1"/>
  <c r="O27" i="3"/>
  <c r="O34" i="3" l="1"/>
  <c r="O39" i="3" s="1"/>
  <c r="P9" i="3" s="1"/>
  <c r="O35" i="3"/>
  <c r="O40" i="3" s="1"/>
  <c r="P10" i="3" s="1"/>
  <c r="O33" i="3"/>
  <c r="O38" i="3" s="1"/>
  <c r="P8" i="3" s="1"/>
  <c r="P23" i="3" l="1"/>
  <c r="P24" i="3" s="1"/>
  <c r="P25" i="3" l="1"/>
  <c r="P26" i="3" s="1"/>
  <c r="P30" i="3"/>
  <c r="P31" i="3" l="1"/>
  <c r="P27" i="3"/>
  <c r="P35" i="3" l="1"/>
  <c r="P40" i="3" s="1"/>
  <c r="Q10" i="3" s="1"/>
  <c r="P34" i="3"/>
  <c r="P39" i="3" s="1"/>
  <c r="Q9" i="3" s="1"/>
  <c r="P33" i="3"/>
  <c r="P38" i="3" s="1"/>
  <c r="Q8" i="3" s="1"/>
  <c r="Q23" i="3" l="1"/>
  <c r="Q24" i="3" s="1"/>
  <c r="Q25" i="3" l="1"/>
  <c r="Q26" i="3" s="1"/>
  <c r="Q30" i="3"/>
  <c r="Q31" i="3" l="1"/>
  <c r="Q27" i="3"/>
  <c r="Q34" i="3" l="1"/>
  <c r="Q39" i="3" s="1"/>
  <c r="R9" i="3" s="1"/>
  <c r="Q35" i="3"/>
  <c r="Q40" i="3" s="1"/>
  <c r="R10" i="3" s="1"/>
  <c r="Q33" i="3"/>
  <c r="Q38" i="3" s="1"/>
  <c r="R8" i="3" s="1"/>
  <c r="R23" i="3" l="1"/>
  <c r="R24" i="3" s="1"/>
  <c r="R30" i="3" l="1"/>
  <c r="R25" i="3"/>
  <c r="R26" i="3" s="1"/>
  <c r="R31" i="3" l="1"/>
  <c r="R27" i="3"/>
  <c r="R35" i="3" l="1"/>
  <c r="R40" i="3" s="1"/>
  <c r="S10" i="3" s="1"/>
  <c r="R33" i="3"/>
  <c r="R38" i="3" s="1"/>
  <c r="S8" i="3" s="1"/>
  <c r="R34" i="3"/>
  <c r="R39" i="3" s="1"/>
  <c r="S9" i="3" s="1"/>
  <c r="S23" i="3" l="1"/>
  <c r="S24" i="3" s="1"/>
  <c r="S30" i="3" l="1"/>
  <c r="S25" i="3"/>
  <c r="S26" i="3" s="1"/>
  <c r="S31" i="3" l="1"/>
  <c r="S27" i="3"/>
  <c r="S35" i="3" l="1"/>
  <c r="S40" i="3" s="1"/>
  <c r="T10" i="3" s="1"/>
  <c r="S33" i="3"/>
  <c r="S38" i="3" s="1"/>
  <c r="T8" i="3" s="1"/>
  <c r="S34" i="3"/>
  <c r="S39" i="3" s="1"/>
  <c r="T9" i="3" s="1"/>
  <c r="T23" i="3" l="1"/>
  <c r="T24" i="3" s="1"/>
  <c r="T30" i="3" l="1"/>
  <c r="T25" i="3"/>
  <c r="T26" i="3" s="1"/>
  <c r="T31" i="3" l="1"/>
  <c r="T27" i="3"/>
  <c r="T35" i="3" l="1"/>
  <c r="T40" i="3" s="1"/>
  <c r="U10" i="3" s="1"/>
  <c r="T33" i="3"/>
  <c r="T38" i="3" s="1"/>
  <c r="U8" i="3" s="1"/>
  <c r="T34" i="3"/>
  <c r="T39" i="3" s="1"/>
  <c r="U9" i="3" s="1"/>
  <c r="U23" i="3" l="1"/>
  <c r="U24" i="3" s="1"/>
  <c r="U30" i="3" l="1"/>
  <c r="U25" i="3"/>
  <c r="U26" i="3" s="1"/>
  <c r="U31" i="3" l="1"/>
  <c r="U27" i="3"/>
  <c r="U35" i="3" l="1"/>
  <c r="U40" i="3" s="1"/>
  <c r="V10" i="3" s="1"/>
  <c r="U33" i="3"/>
  <c r="U38" i="3" s="1"/>
  <c r="V8" i="3" s="1"/>
  <c r="U34" i="3"/>
  <c r="U39" i="3" s="1"/>
  <c r="V9" i="3" s="1"/>
  <c r="V23" i="3" l="1"/>
  <c r="V24" i="3" s="1"/>
  <c r="V30" i="3" l="1"/>
  <c r="V25" i="3"/>
  <c r="V26" i="3" s="1"/>
  <c r="V27" i="3" l="1"/>
  <c r="V31" i="3"/>
  <c r="V35" i="3" l="1"/>
  <c r="V40" i="3" s="1"/>
  <c r="W10" i="3" s="1"/>
  <c r="V33" i="3"/>
  <c r="V38" i="3" s="1"/>
  <c r="W8" i="3" s="1"/>
  <c r="V34" i="3"/>
  <c r="V39" i="3" s="1"/>
  <c r="W9" i="3" s="1"/>
  <c r="W23" i="3" l="1"/>
  <c r="W24" i="3" s="1"/>
  <c r="W25" i="3" l="1"/>
  <c r="W26" i="3" s="1"/>
  <c r="W30" i="3"/>
  <c r="W31" i="3" l="1"/>
  <c r="W27" i="3"/>
  <c r="W34" i="3" l="1"/>
  <c r="W39" i="3" s="1"/>
  <c r="X9" i="3" s="1"/>
  <c r="W35" i="3"/>
  <c r="W40" i="3" s="1"/>
  <c r="X10" i="3" s="1"/>
  <c r="W33" i="3"/>
  <c r="W38" i="3" s="1"/>
  <c r="X8" i="3" s="1"/>
  <c r="X23" i="3" l="1"/>
  <c r="X24" i="3" s="1"/>
  <c r="X25" i="3" l="1"/>
  <c r="X26" i="3" s="1"/>
  <c r="X30" i="3"/>
  <c r="X31" i="3" l="1"/>
  <c r="X27" i="3"/>
  <c r="X34" i="3" l="1"/>
  <c r="X39" i="3" s="1"/>
  <c r="Y9" i="3" s="1"/>
  <c r="X35" i="3"/>
  <c r="X40" i="3" s="1"/>
  <c r="Y10" i="3" s="1"/>
  <c r="X33" i="3"/>
  <c r="X38" i="3" s="1"/>
  <c r="Y8" i="3" s="1"/>
  <c r="Y23" i="3" l="1"/>
  <c r="Y24" i="3" s="1"/>
  <c r="Y25" i="3" l="1"/>
  <c r="Y26" i="3" s="1"/>
  <c r="Y30" i="3"/>
  <c r="Y31" i="3" l="1"/>
  <c r="Y27" i="3"/>
  <c r="Y34" i="3" l="1"/>
  <c r="Y39" i="3" s="1"/>
  <c r="Z9" i="3" s="1"/>
  <c r="Y35" i="3"/>
  <c r="Y40" i="3" s="1"/>
  <c r="Z10" i="3" s="1"/>
  <c r="Y33" i="3"/>
  <c r="Y38" i="3" s="1"/>
  <c r="Z8" i="3" s="1"/>
  <c r="Z23" i="3" l="1"/>
  <c r="Z24" i="3" s="1"/>
  <c r="Z25" i="3" l="1"/>
  <c r="Z26" i="3" s="1"/>
  <c r="Z30" i="3"/>
  <c r="Z31" i="3" l="1"/>
  <c r="Z27" i="3"/>
  <c r="Z34" i="3" l="1"/>
  <c r="Z39" i="3" s="1"/>
  <c r="AA9" i="3" s="1"/>
  <c r="Z33" i="3"/>
  <c r="Z38" i="3" s="1"/>
  <c r="AA8" i="3" s="1"/>
  <c r="Z35" i="3"/>
  <c r="Z40" i="3" s="1"/>
  <c r="AA10" i="3" s="1"/>
  <c r="AA23" i="3" l="1"/>
  <c r="AA24" i="3" s="1"/>
  <c r="AA25" i="3" l="1"/>
  <c r="AA26" i="3" s="1"/>
  <c r="AA30" i="3"/>
  <c r="AA31" i="3" l="1"/>
  <c r="AA27" i="3"/>
  <c r="AA34" i="3" l="1"/>
  <c r="AA39" i="3" s="1"/>
  <c r="AA35" i="3"/>
  <c r="AA40" i="3" s="1"/>
  <c r="AA33" i="3"/>
  <c r="AA38" i="3" s="1"/>
</calcChain>
</file>

<file path=xl/sharedStrings.xml><?xml version="1.0" encoding="utf-8"?>
<sst xmlns="http://schemas.openxmlformats.org/spreadsheetml/2006/main" count="61" uniqueCount="57">
  <si>
    <t>Day</t>
  </si>
  <si>
    <t>Weather App (x1)</t>
  </si>
  <si>
    <t>Sky Clouds (x2)</t>
  </si>
  <si>
    <t>Pressure (x3)</t>
  </si>
  <si>
    <t>Actually Rained? (y)</t>
  </si>
  <si>
    <t>WEIGHTS (Initial Weight in Yellow, expressing how much importance we put on each aspect to predict a rain. Experiment with these)</t>
  </si>
  <si>
    <t>Trust on factors in terms of probability</t>
  </si>
  <si>
    <t>Weight 1 (w1)</t>
  </si>
  <si>
    <t>Trust on Weather App to predict rain</t>
  </si>
  <si>
    <t>Weight 2 (w2)</t>
  </si>
  <si>
    <t>Trust on Cloudiness to predict rain</t>
  </si>
  <si>
    <t>Weight 3 (w3)</t>
  </si>
  <si>
    <t>Trust on Air pressure to predict rain</t>
  </si>
  <si>
    <t>Size of learning Steps (0 - 1) Smaller steps = Slow But Sure learning, more data needed. Bigger Steps = Fast learning, Chances of Inaccuracy, less data works here; so lets start by 0.99 (big step)</t>
  </si>
  <si>
    <t>Learning Rate (α)</t>
  </si>
  <si>
    <t>SELECT TRAINING EXAMPLE</t>
  </si>
  <si>
    <t>Day Number (1-25)</t>
  </si>
  <si>
    <t>Real Value of Weather App prediction (o to 1)</t>
  </si>
  <si>
    <t>Real cloudiness (out of 1)</t>
  </si>
  <si>
    <t>Real Air Pressure (out of 1)</t>
  </si>
  <si>
    <t>STEP 1 FORWARD PASS</t>
  </si>
  <si>
    <t>Weighted Sum (z)</t>
  </si>
  <si>
    <t>z = w1·x1 + w2·x2 + w3·x3</t>
  </si>
  <si>
    <t>Sigmoid(z)</t>
  </si>
  <si>
    <t>σ(z) = 1/(1+e^-z)</t>
  </si>
  <si>
    <t>Prediction (ŷ)</t>
  </si>
  <si>
    <t>Our neuron's guess</t>
  </si>
  <si>
    <t>Error (y - ŷ)</t>
  </si>
  <si>
    <t>How wrong we were</t>
  </si>
  <si>
    <t>Loss (½(y-ŷ)²)</t>
  </si>
  <si>
    <t>Squared error</t>
  </si>
  <si>
    <t>STEP 2 BACKWARD PASS using simple derivative of Sigmoid function</t>
  </si>
  <si>
    <t>Sigmoid Derivative</t>
  </si>
  <si>
    <t>σ(z)·(1-σ(z))</t>
  </si>
  <si>
    <t>Delta (δ)</t>
  </si>
  <si>
    <t>-(y-ŷ)·σ'(z)</t>
  </si>
  <si>
    <t>∂L/∂w1</t>
  </si>
  <si>
    <t>δ · x1</t>
  </si>
  <si>
    <t>∂L/∂w2</t>
  </si>
  <si>
    <t>δ · x2</t>
  </si>
  <si>
    <t>∂L/∂w3</t>
  </si>
  <si>
    <t>δ · x3</t>
  </si>
  <si>
    <t>STEP 3 WEIGHT UPDATES (This is where the gradient descent happens, you start from an arbitrary point and descend towards the minima of the loss function, to achieve the best weights of the inputs)</t>
  </si>
  <si>
    <t>New w1</t>
  </si>
  <si>
    <t>w1 - α·(∂L/∂w1)</t>
  </si>
  <si>
    <t>New w2</t>
  </si>
  <si>
    <t>w2 - α·(∂L/∂w2)</t>
  </si>
  <si>
    <t>New w3</t>
  </si>
  <si>
    <t>w3 - α·(∂L/∂w3)</t>
  </si>
  <si>
    <t>Final Weights after 25 iterations</t>
  </si>
  <si>
    <r>
      <t xml:space="preserve">1. </t>
    </r>
    <r>
      <rPr>
        <b/>
        <sz val="11"/>
        <color theme="1"/>
        <rFont val="Calibri"/>
        <family val="2"/>
        <scheme val="minor"/>
      </rPr>
      <t>Start trusting the weather app more</t>
    </r>
    <r>
      <rPr>
        <sz val="11"/>
        <color theme="1"/>
        <rFont val="Calibri"/>
        <family val="2"/>
        <scheme val="minor"/>
      </rPr>
      <t>. Final value of weight w1 increased a lot.</t>
    </r>
  </si>
  <si>
    <r>
      <t xml:space="preserve">2. We thought cloudiness means rain. Data tells otherwise, the final weight of w2 dropped a lot. </t>
    </r>
    <r>
      <rPr>
        <b/>
        <sz val="11"/>
        <color theme="1"/>
        <rFont val="Calibri"/>
        <family val="2"/>
        <scheme val="minor"/>
      </rPr>
      <t>Counterintuitive?</t>
    </r>
  </si>
  <si>
    <r>
      <t xml:space="preserve">3. We gave no importance to pressure. </t>
    </r>
    <r>
      <rPr>
        <b/>
        <sz val="11"/>
        <color theme="1"/>
        <rFont val="Calibri"/>
        <family val="2"/>
        <scheme val="minor"/>
      </rPr>
      <t>Data proved us wrong</t>
    </r>
    <r>
      <rPr>
        <sz val="11"/>
        <color theme="1"/>
        <rFont val="Calibri"/>
        <family val="2"/>
        <scheme val="minor"/>
      </rPr>
      <t>. Final Weight of w3 increased a lot.</t>
    </r>
  </si>
  <si>
    <t>How fast you want to learn</t>
  </si>
  <si>
    <t>Iteration</t>
  </si>
  <si>
    <t>For Neuron Training against the Training Data</t>
  </si>
  <si>
    <t>Training a single Artificial Neuron using Basic Formulae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</si>
</sst>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sz val="12"/>
      <color rgb="FF9C5700"/>
      <name val="Calibri"/>
      <family val="2"/>
      <scheme val="minor"/>
    </font>
    <font>
      <b/>
      <sz val="11"/>
      <color rgb="FFFFFFFF"/>
      <name val="Calibri"/>
      <family val="2"/>
      <scheme val="minor"/>
    </font>
    <font>
      <sz val="11"/>
      <color theme="1"/>
      <name val="Calibri"/>
      <family val="2"/>
      <scheme val="minor"/>
    </font>
    <font>
      <b/>
      <sz val="14"/>
      <color rgb="FF4472C4"/>
      <name val="Calibri"/>
      <family val="2"/>
      <scheme val="minor"/>
    </font>
    <font>
      <b/>
      <sz val="11"/>
      <name val="Calibri"/>
      <family val="2"/>
      <scheme val="minor"/>
    </font>
    <font>
      <b/>
      <sz val="11"/>
      <color theme="1"/>
      <name val="Calibri"/>
      <family val="2"/>
      <scheme val="minor"/>
    </font>
    <font>
      <i/>
      <sz val="12"/>
      <name val="Calibri"/>
      <family val="2"/>
      <scheme val="minor"/>
    </font>
    <font>
      <i/>
      <sz val="9"/>
      <name val="Calibri"/>
      <family val="2"/>
      <scheme val="minor"/>
    </font>
    <font>
      <b/>
      <sz val="11"/>
      <color rgb="FFFF0000"/>
      <name val="Calibri"/>
      <family val="2"/>
      <scheme val="minor"/>
    </font>
    <font>
      <b/>
      <sz val="11"/>
      <color rgb="FFC00000"/>
      <name val="Calibri"/>
      <family val="2"/>
      <scheme val="minor"/>
    </font>
    <font>
      <b/>
      <sz val="14"/>
      <color theme="0"/>
      <name val="Calibri"/>
      <family val="2"/>
      <scheme val="minor"/>
    </font>
    <font>
      <sz val="11"/>
      <color theme="0"/>
      <name val="Calibri"/>
      <family val="2"/>
      <scheme val="minor"/>
    </font>
    <font>
      <sz val="16"/>
      <color rgb="FF9C5700"/>
      <name val="Calibri"/>
      <family val="2"/>
      <scheme val="minor"/>
    </font>
    <font>
      <b/>
      <sz val="16"/>
      <color rgb="FFFF0000"/>
      <name val="Calibri"/>
      <family val="2"/>
      <scheme val="minor"/>
    </font>
    <font>
      <b/>
      <sz val="20"/>
      <color rgb="FFFF0000"/>
      <name val="Calibri"/>
      <family val="2"/>
      <scheme val="minor"/>
    </font>
  </fonts>
  <fills count="11">
    <fill>
      <patternFill patternType="none"/>
    </fill>
    <fill>
      <patternFill patternType="gray125"/>
    </fill>
    <fill>
      <patternFill patternType="solid">
        <fgColor rgb="FFFFEB9C"/>
      </patternFill>
    </fill>
    <fill>
      <patternFill patternType="solid">
        <fgColor rgb="FF4472C4"/>
        <bgColor rgb="FF666699"/>
      </patternFill>
    </fill>
    <fill>
      <patternFill patternType="solid">
        <fgColor rgb="FFD9E1F2"/>
        <bgColor rgb="FFE2EFDA"/>
      </patternFill>
    </fill>
    <fill>
      <patternFill patternType="solid">
        <fgColor theme="0" tint="-0.14999847407452621"/>
        <bgColor indexed="64"/>
      </patternFill>
    </fill>
    <fill>
      <patternFill patternType="solid">
        <fgColor rgb="FFE2EFDA"/>
        <bgColor rgb="FFD9E1F2"/>
      </patternFill>
    </fill>
    <fill>
      <patternFill patternType="solid">
        <fgColor rgb="FFF59EFF"/>
        <bgColor indexed="64"/>
      </patternFill>
    </fill>
    <fill>
      <patternFill patternType="solid">
        <fgColor rgb="FFFCE4D6"/>
        <bgColor rgb="FFFFF2CC"/>
      </patternFill>
    </fill>
    <fill>
      <patternFill patternType="solid">
        <fgColor rgb="FF002060"/>
        <bgColor indexed="64"/>
      </patternFill>
    </fill>
    <fill>
      <patternFill patternType="solid">
        <fgColor theme="1"/>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5">
    <xf numFmtId="0" fontId="0" fillId="0" borderId="0" xfId="0"/>
    <xf numFmtId="0" fontId="2" fillId="3" borderId="0" xfId="0" applyFont="1" applyFill="1" applyAlignment="1">
      <alignment horizontal="center"/>
    </xf>
    <xf numFmtId="0" fontId="3" fillId="0" borderId="0" xfId="0" applyFont="1"/>
    <xf numFmtId="2" fontId="3" fillId="0" borderId="0" xfId="0" applyNumberFormat="1" applyFont="1"/>
    <xf numFmtId="1" fontId="3" fillId="0" borderId="0" xfId="0" applyNumberFormat="1" applyFont="1"/>
    <xf numFmtId="0" fontId="5" fillId="4" borderId="0" xfId="0" applyFont="1" applyFill="1"/>
    <xf numFmtId="0" fontId="7" fillId="0" borderId="0" xfId="0" applyFont="1"/>
    <xf numFmtId="0" fontId="3" fillId="7" borderId="0" xfId="0" applyFont="1" applyFill="1"/>
    <xf numFmtId="0" fontId="7" fillId="7" borderId="0" xfId="0" applyFont="1" applyFill="1"/>
    <xf numFmtId="2" fontId="3" fillId="7" borderId="0" xfId="0" applyNumberFormat="1" applyFont="1" applyFill="1"/>
    <xf numFmtId="0" fontId="8" fillId="0" borderId="0" xfId="0" applyFont="1"/>
    <xf numFmtId="2" fontId="9" fillId="0" borderId="0" xfId="0" applyNumberFormat="1" applyFont="1"/>
    <xf numFmtId="0" fontId="10" fillId="0" borderId="0" xfId="0" applyFont="1"/>
    <xf numFmtId="0" fontId="6" fillId="0" borderId="0" xfId="0" applyFont="1"/>
    <xf numFmtId="0" fontId="3" fillId="0" borderId="0" xfId="0" applyFont="1" applyAlignment="1">
      <alignment wrapText="1"/>
    </xf>
    <xf numFmtId="0" fontId="4" fillId="0" borderId="0" xfId="0" applyFont="1"/>
    <xf numFmtId="0" fontId="5" fillId="6" borderId="0" xfId="0" applyFont="1" applyFill="1"/>
    <xf numFmtId="0" fontId="5" fillId="4" borderId="0" xfId="0" applyFont="1" applyFill="1"/>
    <xf numFmtId="0" fontId="6" fillId="5" borderId="0" xfId="0" applyFont="1" applyFill="1" applyAlignment="1">
      <alignment horizontal="left"/>
    </xf>
    <xf numFmtId="0" fontId="5" fillId="8" borderId="0" xfId="0" applyFont="1" applyFill="1"/>
    <xf numFmtId="0" fontId="11" fillId="10" borderId="0" xfId="0" applyFont="1" applyFill="1"/>
    <xf numFmtId="0" fontId="12" fillId="10" borderId="0" xfId="0" applyFont="1" applyFill="1"/>
    <xf numFmtId="2" fontId="13" fillId="2" borderId="0" xfId="1" applyNumberFormat="1" applyFont="1"/>
    <xf numFmtId="2" fontId="14" fillId="9" borderId="0" xfId="0" applyNumberFormat="1" applyFont="1" applyFill="1"/>
    <xf numFmtId="0" fontId="15" fillId="10" borderId="0" xfId="0" applyFont="1" applyFill="1"/>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254000</xdr:colOff>
      <xdr:row>0</xdr:row>
      <xdr:rowOff>127000</xdr:rowOff>
    </xdr:from>
    <xdr:to>
      <xdr:col>24</xdr:col>
      <xdr:colOff>762000</xdr:colOff>
      <xdr:row>49</xdr:row>
      <xdr:rowOff>101600</xdr:rowOff>
    </xdr:to>
    <xdr:pic>
      <xdr:nvPicPr>
        <xdr:cNvPr id="2" name="Picture 1">
          <a:extLst>
            <a:ext uri="{FF2B5EF4-FFF2-40B4-BE49-F238E27FC236}">
              <a16:creationId xmlns:a16="http://schemas.microsoft.com/office/drawing/2014/main" id="{6C404459-E898-7E4D-9368-287DE27B46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27000"/>
          <a:ext cx="20320000" cy="995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tgmcnishant/Downloads/Excel_artificial_neuron.xlsx" TargetMode="External"/><Relationship Id="rId1" Type="http://schemas.openxmlformats.org/officeDocument/2006/relationships/externalLinkPath" Target="Excel_artificial_neur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euron Design"/>
      <sheetName val="Training Data"/>
      <sheetName val="Neuron Calculator"/>
      <sheetName val="How to use"/>
    </sheetNames>
    <sheetDataSet>
      <sheetData sheetId="0"/>
      <sheetData sheetId="1">
        <row r="1">
          <cell r="B1" t="str">
            <v>Weather App (x1)</v>
          </cell>
          <cell r="C1" t="str">
            <v>Sky Clouds (x2)</v>
          </cell>
          <cell r="D1" t="str">
            <v>Pressure (x3)</v>
          </cell>
          <cell r="E1" t="str">
            <v>Actually Rained? (y)</v>
          </cell>
        </row>
        <row r="2">
          <cell r="B2">
            <v>0.9</v>
          </cell>
          <cell r="C2">
            <v>0.3</v>
          </cell>
          <cell r="D2">
            <v>0.8</v>
          </cell>
          <cell r="E2">
            <v>1</v>
          </cell>
        </row>
        <row r="3">
          <cell r="B3">
            <v>0.2</v>
          </cell>
          <cell r="C3">
            <v>0.1</v>
          </cell>
          <cell r="D3">
            <v>0.3</v>
          </cell>
          <cell r="E3">
            <v>0</v>
          </cell>
        </row>
        <row r="4">
          <cell r="B4">
            <v>0.8</v>
          </cell>
          <cell r="C4">
            <v>0.2</v>
          </cell>
          <cell r="D4">
            <v>0.9</v>
          </cell>
          <cell r="E4">
            <v>1</v>
          </cell>
        </row>
        <row r="5">
          <cell r="B5">
            <v>0.3</v>
          </cell>
          <cell r="C5">
            <v>0.2</v>
          </cell>
          <cell r="D5">
            <v>0.2</v>
          </cell>
          <cell r="E5">
            <v>0</v>
          </cell>
        </row>
        <row r="6">
          <cell r="B6">
            <v>0.7</v>
          </cell>
          <cell r="C6">
            <v>0.5</v>
          </cell>
          <cell r="D6">
            <v>0.7</v>
          </cell>
          <cell r="E6">
            <v>1</v>
          </cell>
        </row>
        <row r="7">
          <cell r="B7">
            <v>0.1</v>
          </cell>
          <cell r="C7">
            <v>0.4</v>
          </cell>
          <cell r="D7">
            <v>0.2</v>
          </cell>
          <cell r="E7">
            <v>0</v>
          </cell>
        </row>
        <row r="8">
          <cell r="B8">
            <v>0.95</v>
          </cell>
          <cell r="C8">
            <v>0.1</v>
          </cell>
          <cell r="D8">
            <v>0.85</v>
          </cell>
          <cell r="E8">
            <v>1</v>
          </cell>
        </row>
        <row r="9">
          <cell r="B9">
            <v>0.4</v>
          </cell>
          <cell r="C9">
            <v>0.3</v>
          </cell>
          <cell r="D9">
            <v>0.4</v>
          </cell>
          <cell r="E9">
            <v>0</v>
          </cell>
        </row>
        <row r="10">
          <cell r="B10">
            <v>0.85</v>
          </cell>
          <cell r="C10">
            <v>0.1</v>
          </cell>
          <cell r="D10">
            <v>0.8</v>
          </cell>
          <cell r="E10">
            <v>1</v>
          </cell>
        </row>
        <row r="11">
          <cell r="B11">
            <v>0.15</v>
          </cell>
          <cell r="C11">
            <v>0.2</v>
          </cell>
          <cell r="D11">
            <v>0.25</v>
          </cell>
          <cell r="E11">
            <v>0</v>
          </cell>
        </row>
        <row r="12">
          <cell r="B12">
            <v>0.34</v>
          </cell>
          <cell r="C12">
            <v>0.2</v>
          </cell>
          <cell r="D12">
            <v>0.59</v>
          </cell>
          <cell r="E12">
            <v>1</v>
          </cell>
        </row>
        <row r="13">
          <cell r="B13">
            <v>0.43</v>
          </cell>
          <cell r="C13">
            <v>0.7</v>
          </cell>
          <cell r="D13">
            <v>0.01</v>
          </cell>
          <cell r="E13">
            <v>0</v>
          </cell>
        </row>
        <row r="14">
          <cell r="B14">
            <v>0.41</v>
          </cell>
          <cell r="C14">
            <v>0.1</v>
          </cell>
          <cell r="D14">
            <v>0.28999999999999998</v>
          </cell>
          <cell r="E14">
            <v>0</v>
          </cell>
        </row>
        <row r="15">
          <cell r="B15">
            <v>0.12</v>
          </cell>
          <cell r="C15">
            <v>0.6</v>
          </cell>
          <cell r="D15">
            <v>0.87</v>
          </cell>
          <cell r="E15">
            <v>1</v>
          </cell>
        </row>
        <row r="16">
          <cell r="B16">
            <v>0.89</v>
          </cell>
          <cell r="C16">
            <v>0.1</v>
          </cell>
          <cell r="D16">
            <v>0.83</v>
          </cell>
          <cell r="E16">
            <v>1</v>
          </cell>
        </row>
        <row r="17">
          <cell r="B17">
            <v>0.1</v>
          </cell>
          <cell r="C17">
            <v>0.2</v>
          </cell>
          <cell r="D17">
            <v>0.03</v>
          </cell>
          <cell r="E17">
            <v>0</v>
          </cell>
        </row>
        <row r="18">
          <cell r="B18">
            <v>0.57999999999999996</v>
          </cell>
          <cell r="C18">
            <v>0.3</v>
          </cell>
          <cell r="D18">
            <v>0.28999999999999998</v>
          </cell>
          <cell r="E18">
            <v>1</v>
          </cell>
        </row>
        <row r="19">
          <cell r="B19">
            <v>0.23</v>
          </cell>
          <cell r="C19">
            <v>0.5</v>
          </cell>
          <cell r="D19">
            <v>0.26</v>
          </cell>
          <cell r="E19">
            <v>0</v>
          </cell>
        </row>
        <row r="20">
          <cell r="B20">
            <v>0.65</v>
          </cell>
          <cell r="C20">
            <v>0.6</v>
          </cell>
          <cell r="D20">
            <v>0.26</v>
          </cell>
          <cell r="E20">
            <v>1</v>
          </cell>
        </row>
        <row r="21">
          <cell r="B21">
            <v>0.12</v>
          </cell>
          <cell r="C21">
            <v>0.2</v>
          </cell>
          <cell r="D21">
            <v>7.0000000000000007E-2</v>
          </cell>
          <cell r="E21">
            <v>0</v>
          </cell>
        </row>
        <row r="22">
          <cell r="B22">
            <v>0.13</v>
          </cell>
          <cell r="C22">
            <v>0.7</v>
          </cell>
          <cell r="D22">
            <v>0.46</v>
          </cell>
          <cell r="E22">
            <v>0</v>
          </cell>
        </row>
        <row r="23">
          <cell r="B23">
            <v>0.68</v>
          </cell>
          <cell r="C23">
            <v>0.8</v>
          </cell>
          <cell r="D23">
            <v>0.81</v>
          </cell>
          <cell r="E23">
            <v>1</v>
          </cell>
        </row>
        <row r="24">
          <cell r="B24">
            <v>0.88</v>
          </cell>
          <cell r="C24">
            <v>0.7</v>
          </cell>
          <cell r="D24">
            <v>0.71</v>
          </cell>
          <cell r="E24">
            <v>1</v>
          </cell>
        </row>
        <row r="25">
          <cell r="B25">
            <v>0.8</v>
          </cell>
          <cell r="C25">
            <v>0.2</v>
          </cell>
          <cell r="D25">
            <v>0.53</v>
          </cell>
          <cell r="E25">
            <v>1</v>
          </cell>
        </row>
        <row r="26">
          <cell r="B26">
            <v>0.62</v>
          </cell>
          <cell r="C26">
            <v>0.4</v>
          </cell>
          <cell r="D26">
            <v>0.98</v>
          </cell>
          <cell r="E26">
            <v>1</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59F8-A61E-E849-932D-E9BE0072E751}">
  <dimension ref="A1"/>
  <sheetViews>
    <sheetView zoomScale="75" workbookViewId="0">
      <selection activeCell="I53" sqref="I53"/>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AFDAA-AE11-7F4A-BD5C-093336B20291}">
  <dimension ref="A1:E26"/>
  <sheetViews>
    <sheetView zoomScale="150" workbookViewId="0">
      <selection activeCell="E37" sqref="E37"/>
    </sheetView>
  </sheetViews>
  <sheetFormatPr baseColWidth="10" defaultColWidth="8.6640625" defaultRowHeight="16" x14ac:dyDescent="0.2"/>
  <cols>
    <col min="1" max="1" width="4" bestFit="1" customWidth="1"/>
    <col min="2" max="2" width="14.6640625" bestFit="1" customWidth="1"/>
    <col min="3" max="3" width="12.33203125" bestFit="1" customWidth="1"/>
    <col min="4" max="4" width="11" bestFit="1" customWidth="1"/>
    <col min="5" max="5" width="16.33203125" bestFit="1" customWidth="1"/>
  </cols>
  <sheetData>
    <row r="1" spans="1:5" x14ac:dyDescent="0.2">
      <c r="A1" s="1" t="s">
        <v>0</v>
      </c>
      <c r="B1" s="1" t="s">
        <v>1</v>
      </c>
      <c r="C1" s="1" t="s">
        <v>2</v>
      </c>
      <c r="D1" s="1" t="s">
        <v>3</v>
      </c>
      <c r="E1" s="1" t="s">
        <v>4</v>
      </c>
    </row>
    <row r="2" spans="1:5" x14ac:dyDescent="0.2">
      <c r="A2" s="2">
        <v>1</v>
      </c>
      <c r="B2" s="3">
        <v>0.9</v>
      </c>
      <c r="C2" s="3">
        <v>0.3</v>
      </c>
      <c r="D2" s="3">
        <v>0.8</v>
      </c>
      <c r="E2" s="2">
        <v>1</v>
      </c>
    </row>
    <row r="3" spans="1:5" x14ac:dyDescent="0.2">
      <c r="A3" s="2">
        <v>2</v>
      </c>
      <c r="B3" s="3">
        <v>0.2</v>
      </c>
      <c r="C3" s="3">
        <v>0.1</v>
      </c>
      <c r="D3" s="3">
        <v>0.3</v>
      </c>
      <c r="E3" s="2">
        <v>0</v>
      </c>
    </row>
    <row r="4" spans="1:5" x14ac:dyDescent="0.2">
      <c r="A4" s="2">
        <v>3</v>
      </c>
      <c r="B4" s="3">
        <v>0.8</v>
      </c>
      <c r="C4" s="3">
        <v>0.2</v>
      </c>
      <c r="D4" s="3">
        <v>0.9</v>
      </c>
      <c r="E4" s="2">
        <v>1</v>
      </c>
    </row>
    <row r="5" spans="1:5" x14ac:dyDescent="0.2">
      <c r="A5" s="2">
        <v>4</v>
      </c>
      <c r="B5" s="3">
        <v>0.3</v>
      </c>
      <c r="C5" s="3">
        <v>0.2</v>
      </c>
      <c r="D5" s="3">
        <v>0.2</v>
      </c>
      <c r="E5" s="2">
        <v>0</v>
      </c>
    </row>
    <row r="6" spans="1:5" x14ac:dyDescent="0.2">
      <c r="A6" s="2">
        <v>5</v>
      </c>
      <c r="B6" s="3">
        <v>0.7</v>
      </c>
      <c r="C6" s="3">
        <v>0.5</v>
      </c>
      <c r="D6" s="3">
        <v>0.7</v>
      </c>
      <c r="E6" s="2">
        <v>1</v>
      </c>
    </row>
    <row r="7" spans="1:5" x14ac:dyDescent="0.2">
      <c r="A7" s="2">
        <v>6</v>
      </c>
      <c r="B7" s="3">
        <v>0.1</v>
      </c>
      <c r="C7" s="3">
        <v>0.4</v>
      </c>
      <c r="D7" s="3">
        <v>0.2</v>
      </c>
      <c r="E7" s="2">
        <v>0</v>
      </c>
    </row>
    <row r="8" spans="1:5" x14ac:dyDescent="0.2">
      <c r="A8" s="2">
        <v>7</v>
      </c>
      <c r="B8" s="3">
        <v>0.95</v>
      </c>
      <c r="C8" s="3">
        <v>0.1</v>
      </c>
      <c r="D8" s="3">
        <v>0.85</v>
      </c>
      <c r="E8" s="2">
        <v>1</v>
      </c>
    </row>
    <row r="9" spans="1:5" x14ac:dyDescent="0.2">
      <c r="A9" s="2">
        <v>8</v>
      </c>
      <c r="B9" s="3">
        <v>0.4</v>
      </c>
      <c r="C9" s="3">
        <v>0.3</v>
      </c>
      <c r="D9" s="3">
        <v>0.4</v>
      </c>
      <c r="E9" s="2">
        <v>0</v>
      </c>
    </row>
    <row r="10" spans="1:5" x14ac:dyDescent="0.2">
      <c r="A10" s="2">
        <v>9</v>
      </c>
      <c r="B10" s="2">
        <v>0.85</v>
      </c>
      <c r="C10" s="3">
        <v>0.1</v>
      </c>
      <c r="D10" s="3">
        <v>0.8</v>
      </c>
      <c r="E10" s="2">
        <v>1</v>
      </c>
    </row>
    <row r="11" spans="1:5" x14ac:dyDescent="0.2">
      <c r="A11" s="2">
        <v>10</v>
      </c>
      <c r="B11" s="2">
        <v>0.15</v>
      </c>
      <c r="C11" s="3">
        <v>0.2</v>
      </c>
      <c r="D11" s="3">
        <v>0.25</v>
      </c>
      <c r="E11" s="2">
        <v>0</v>
      </c>
    </row>
    <row r="12" spans="1:5" x14ac:dyDescent="0.2">
      <c r="A12" s="2">
        <v>11</v>
      </c>
      <c r="B12" s="3">
        <v>0.34</v>
      </c>
      <c r="C12" s="3">
        <v>0.2</v>
      </c>
      <c r="D12" s="3">
        <v>0.59</v>
      </c>
      <c r="E12" s="4">
        <v>1</v>
      </c>
    </row>
    <row r="13" spans="1:5" x14ac:dyDescent="0.2">
      <c r="A13" s="2">
        <v>12</v>
      </c>
      <c r="B13" s="3">
        <v>0.43</v>
      </c>
      <c r="C13" s="3">
        <v>0.7</v>
      </c>
      <c r="D13" s="3">
        <v>0.01</v>
      </c>
      <c r="E13" s="4">
        <v>0</v>
      </c>
    </row>
    <row r="14" spans="1:5" x14ac:dyDescent="0.2">
      <c r="A14" s="2">
        <v>13</v>
      </c>
      <c r="B14" s="3">
        <v>0.41</v>
      </c>
      <c r="C14" s="3">
        <v>0.1</v>
      </c>
      <c r="D14" s="3">
        <v>0.28999999999999998</v>
      </c>
      <c r="E14" s="4">
        <v>0</v>
      </c>
    </row>
    <row r="15" spans="1:5" x14ac:dyDescent="0.2">
      <c r="A15" s="2">
        <v>14</v>
      </c>
      <c r="B15" s="3">
        <v>0.12</v>
      </c>
      <c r="C15" s="3">
        <v>0.6</v>
      </c>
      <c r="D15" s="3">
        <v>0.87</v>
      </c>
      <c r="E15" s="4">
        <v>1</v>
      </c>
    </row>
    <row r="16" spans="1:5" x14ac:dyDescent="0.2">
      <c r="A16" s="2">
        <v>15</v>
      </c>
      <c r="B16" s="3">
        <v>0.89</v>
      </c>
      <c r="C16" s="3">
        <v>0.1</v>
      </c>
      <c r="D16" s="3">
        <v>0.83</v>
      </c>
      <c r="E16" s="4">
        <v>1</v>
      </c>
    </row>
    <row r="17" spans="1:5" x14ac:dyDescent="0.2">
      <c r="A17" s="2">
        <v>16</v>
      </c>
      <c r="B17" s="3">
        <v>0.1</v>
      </c>
      <c r="C17" s="3">
        <v>0.2</v>
      </c>
      <c r="D17" s="3">
        <v>0.03</v>
      </c>
      <c r="E17" s="4">
        <v>0</v>
      </c>
    </row>
    <row r="18" spans="1:5" x14ac:dyDescent="0.2">
      <c r="A18" s="2">
        <v>17</v>
      </c>
      <c r="B18" s="3">
        <v>0.57999999999999996</v>
      </c>
      <c r="C18" s="3">
        <v>0.3</v>
      </c>
      <c r="D18" s="3">
        <v>0.28999999999999998</v>
      </c>
      <c r="E18" s="4">
        <v>1</v>
      </c>
    </row>
    <row r="19" spans="1:5" x14ac:dyDescent="0.2">
      <c r="A19" s="2">
        <v>18</v>
      </c>
      <c r="B19" s="3">
        <v>0.23</v>
      </c>
      <c r="C19" s="3">
        <v>0.5</v>
      </c>
      <c r="D19" s="3">
        <v>0.26</v>
      </c>
      <c r="E19" s="4">
        <v>0</v>
      </c>
    </row>
    <row r="20" spans="1:5" x14ac:dyDescent="0.2">
      <c r="A20" s="2">
        <v>19</v>
      </c>
      <c r="B20" s="3">
        <v>0.65</v>
      </c>
      <c r="C20" s="3">
        <v>0.6</v>
      </c>
      <c r="D20" s="3">
        <v>0.26</v>
      </c>
      <c r="E20" s="4">
        <v>1</v>
      </c>
    </row>
    <row r="21" spans="1:5" x14ac:dyDescent="0.2">
      <c r="A21" s="2">
        <v>20</v>
      </c>
      <c r="B21" s="3">
        <v>0.12</v>
      </c>
      <c r="C21" s="3">
        <v>0.2</v>
      </c>
      <c r="D21" s="3">
        <v>7.0000000000000007E-2</v>
      </c>
      <c r="E21" s="4">
        <v>0</v>
      </c>
    </row>
    <row r="22" spans="1:5" x14ac:dyDescent="0.2">
      <c r="A22" s="2">
        <v>21</v>
      </c>
      <c r="B22" s="3">
        <v>0.13</v>
      </c>
      <c r="C22" s="3">
        <v>0.7</v>
      </c>
      <c r="D22" s="3">
        <v>0.46</v>
      </c>
      <c r="E22" s="4">
        <v>0</v>
      </c>
    </row>
    <row r="23" spans="1:5" x14ac:dyDescent="0.2">
      <c r="A23" s="2">
        <v>22</v>
      </c>
      <c r="B23" s="3">
        <v>0.68</v>
      </c>
      <c r="C23" s="3">
        <v>0.8</v>
      </c>
      <c r="D23" s="3">
        <v>0.81</v>
      </c>
      <c r="E23" s="4">
        <v>1</v>
      </c>
    </row>
    <row r="24" spans="1:5" x14ac:dyDescent="0.2">
      <c r="A24" s="2">
        <v>23</v>
      </c>
      <c r="B24" s="3">
        <v>0.88</v>
      </c>
      <c r="C24" s="3">
        <v>0.7</v>
      </c>
      <c r="D24" s="3">
        <v>0.71</v>
      </c>
      <c r="E24" s="4">
        <v>1</v>
      </c>
    </row>
    <row r="25" spans="1:5" x14ac:dyDescent="0.2">
      <c r="A25" s="2">
        <v>24</v>
      </c>
      <c r="B25" s="3">
        <v>0.8</v>
      </c>
      <c r="C25" s="3">
        <v>0.2</v>
      </c>
      <c r="D25" s="3">
        <v>0.53</v>
      </c>
      <c r="E25" s="4">
        <v>1</v>
      </c>
    </row>
    <row r="26" spans="1:5" x14ac:dyDescent="0.2">
      <c r="A26" s="2">
        <v>25</v>
      </c>
      <c r="B26" s="3">
        <v>0.62</v>
      </c>
      <c r="C26" s="3">
        <v>0.4</v>
      </c>
      <c r="D26" s="3">
        <v>0.98</v>
      </c>
      <c r="E26"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601A5-661A-BA48-8346-EABD5E968383}">
  <dimension ref="A2:AA45"/>
  <sheetViews>
    <sheetView tabSelected="1" zoomScale="131" workbookViewId="0">
      <selection activeCell="A2" sqref="A2:AA2"/>
    </sheetView>
  </sheetViews>
  <sheetFormatPr baseColWidth="10" defaultColWidth="8.6640625" defaultRowHeight="15" x14ac:dyDescent="0.2"/>
  <cols>
    <col min="1" max="1" width="15.83203125" style="2" bestFit="1" customWidth="1"/>
    <col min="2" max="2" width="35.5" style="2" bestFit="1" customWidth="1"/>
    <col min="3" max="3" width="6" style="2" bestFit="1" customWidth="1"/>
    <col min="4" max="26" width="5.1640625" style="2" bestFit="1" customWidth="1"/>
    <col min="27" max="27" width="6.1640625" style="2" bestFit="1" customWidth="1"/>
    <col min="28" max="16384" width="8.6640625" style="2"/>
  </cols>
  <sheetData>
    <row r="2" spans="1:27" ht="26" x14ac:dyDescent="0.3">
      <c r="A2" s="24" t="s">
        <v>56</v>
      </c>
      <c r="B2" s="24"/>
      <c r="C2" s="24"/>
      <c r="D2" s="24"/>
      <c r="E2" s="24"/>
      <c r="F2" s="24"/>
      <c r="G2" s="24"/>
      <c r="H2" s="24"/>
      <c r="I2" s="24"/>
      <c r="J2" s="24"/>
      <c r="K2" s="24"/>
      <c r="L2" s="24"/>
      <c r="M2" s="24"/>
      <c r="N2" s="24"/>
      <c r="O2" s="24"/>
      <c r="P2" s="24"/>
      <c r="Q2" s="24"/>
      <c r="R2" s="24"/>
      <c r="S2" s="24"/>
      <c r="T2" s="24"/>
      <c r="U2" s="24"/>
      <c r="V2" s="24"/>
      <c r="W2" s="24"/>
      <c r="X2" s="24"/>
      <c r="Y2" s="24"/>
      <c r="Z2" s="24"/>
      <c r="AA2" s="24"/>
    </row>
    <row r="3" spans="1:27" ht="19" x14ac:dyDescent="0.25">
      <c r="A3" s="15"/>
      <c r="B3" s="15"/>
      <c r="C3" s="15"/>
      <c r="D3" s="15"/>
      <c r="E3" s="15"/>
      <c r="F3" s="15"/>
      <c r="G3" s="15"/>
      <c r="H3" s="15"/>
      <c r="I3" s="15"/>
      <c r="J3" s="15"/>
      <c r="K3" s="15"/>
      <c r="L3" s="15"/>
      <c r="M3" s="15"/>
      <c r="N3" s="15"/>
      <c r="O3" s="15"/>
      <c r="P3" s="15"/>
      <c r="Q3" s="15"/>
      <c r="R3" s="15"/>
      <c r="S3" s="15"/>
      <c r="T3" s="15"/>
      <c r="U3" s="15"/>
      <c r="V3" s="15"/>
      <c r="W3" s="15"/>
      <c r="X3" s="15"/>
      <c r="Y3" s="15"/>
      <c r="Z3" s="15"/>
      <c r="AA3" s="15"/>
    </row>
    <row r="4" spans="1:27" ht="19" x14ac:dyDescent="0.25">
      <c r="A4" s="20" t="s">
        <v>54</v>
      </c>
      <c r="B4" s="21" t="s">
        <v>55</v>
      </c>
      <c r="C4" s="20">
        <v>1</v>
      </c>
      <c r="D4" s="20">
        <v>2</v>
      </c>
      <c r="E4" s="20">
        <v>3</v>
      </c>
      <c r="F4" s="20">
        <v>4</v>
      </c>
      <c r="G4" s="20">
        <v>5</v>
      </c>
      <c r="H4" s="20">
        <v>6</v>
      </c>
      <c r="I4" s="20">
        <v>7</v>
      </c>
      <c r="J4" s="20">
        <v>8</v>
      </c>
      <c r="K4" s="20">
        <v>9</v>
      </c>
      <c r="L4" s="20">
        <v>10</v>
      </c>
      <c r="M4" s="20">
        <v>11</v>
      </c>
      <c r="N4" s="20">
        <v>12</v>
      </c>
      <c r="O4" s="20">
        <v>13</v>
      </c>
      <c r="P4" s="20">
        <v>14</v>
      </c>
      <c r="Q4" s="20">
        <v>15</v>
      </c>
      <c r="R4" s="20">
        <v>16</v>
      </c>
      <c r="S4" s="20">
        <v>17</v>
      </c>
      <c r="T4" s="20">
        <v>18</v>
      </c>
      <c r="U4" s="20">
        <v>19</v>
      </c>
      <c r="V4" s="20">
        <v>20</v>
      </c>
      <c r="W4" s="20">
        <v>21</v>
      </c>
      <c r="X4" s="20">
        <v>22</v>
      </c>
      <c r="Y4" s="20">
        <v>23</v>
      </c>
      <c r="Z4" s="20">
        <v>24</v>
      </c>
      <c r="AA4" s="20">
        <v>25</v>
      </c>
    </row>
    <row r="6" spans="1:27" x14ac:dyDescent="0.2">
      <c r="A6" s="17" t="s">
        <v>5</v>
      </c>
      <c r="B6" s="17"/>
      <c r="C6" s="17"/>
      <c r="D6" s="17"/>
      <c r="E6" s="17"/>
      <c r="F6" s="17"/>
      <c r="G6" s="17"/>
      <c r="H6" s="17"/>
      <c r="I6" s="17"/>
      <c r="J6" s="17"/>
      <c r="K6" s="17"/>
      <c r="L6" s="17"/>
      <c r="M6" s="17"/>
      <c r="N6" s="17"/>
      <c r="O6" s="17"/>
      <c r="P6" s="17"/>
      <c r="Q6" s="17"/>
      <c r="R6" s="17"/>
      <c r="S6" s="17"/>
      <c r="T6" s="17"/>
      <c r="U6" s="17"/>
      <c r="V6" s="17"/>
      <c r="W6" s="17"/>
      <c r="X6" s="17"/>
      <c r="Y6" s="17"/>
      <c r="Z6" s="17"/>
      <c r="AA6" s="17"/>
    </row>
    <row r="7" spans="1:27" x14ac:dyDescent="0.2">
      <c r="A7" s="5"/>
      <c r="B7" s="5" t="s">
        <v>6</v>
      </c>
      <c r="C7" s="5"/>
      <c r="D7" s="5"/>
      <c r="E7" s="5"/>
      <c r="F7" s="5"/>
      <c r="G7" s="5"/>
      <c r="H7" s="5"/>
      <c r="I7" s="5"/>
      <c r="J7" s="5"/>
      <c r="K7" s="5"/>
      <c r="L7" s="5"/>
      <c r="M7" s="5"/>
      <c r="N7" s="5"/>
      <c r="O7" s="5"/>
      <c r="P7" s="5"/>
      <c r="Q7" s="5"/>
      <c r="R7" s="5"/>
      <c r="S7" s="5"/>
      <c r="T7" s="5"/>
      <c r="U7" s="5"/>
      <c r="V7" s="5"/>
      <c r="W7" s="5"/>
      <c r="X7" s="5"/>
      <c r="Y7" s="5"/>
      <c r="Z7" s="5"/>
      <c r="AA7" s="5"/>
    </row>
    <row r="8" spans="1:27" ht="21" x14ac:dyDescent="0.25">
      <c r="A8" s="2" t="s">
        <v>7</v>
      </c>
      <c r="B8" s="2" t="s">
        <v>8</v>
      </c>
      <c r="C8" s="22">
        <v>0.2</v>
      </c>
      <c r="D8" s="3">
        <f>C38</f>
        <v>0.27699770889646597</v>
      </c>
      <c r="E8" s="3">
        <f>D38</f>
        <v>0.25006548625800656</v>
      </c>
      <c r="F8" s="3">
        <f t="shared" ref="F8:AA10" si="0">E38</f>
        <v>0.32047270712060383</v>
      </c>
      <c r="G8" s="3">
        <f t="shared" si="0"/>
        <v>0.2785016785279476</v>
      </c>
      <c r="H8" s="3">
        <f t="shared" si="0"/>
        <v>0.32587765188992629</v>
      </c>
      <c r="I8" s="3">
        <f t="shared" si="0"/>
        <v>0.3114990947892991</v>
      </c>
      <c r="J8" s="3">
        <f t="shared" si="0"/>
        <v>0.39119172760252685</v>
      </c>
      <c r="K8" s="3">
        <f t="shared" si="0"/>
        <v>0.33305147285561493</v>
      </c>
      <c r="L8" s="3">
        <f t="shared" si="0"/>
        <v>0.40536915268997087</v>
      </c>
      <c r="M8" s="3">
        <f t="shared" si="0"/>
        <v>0.38451067801285072</v>
      </c>
      <c r="N8" s="3">
        <f t="shared" si="0"/>
        <v>0.41593992834480709</v>
      </c>
      <c r="O8" s="3">
        <f t="shared" si="0"/>
        <v>0.3530004735243647</v>
      </c>
      <c r="P8" s="3">
        <f t="shared" si="0"/>
        <v>0.29592344922197744</v>
      </c>
      <c r="Q8" s="3">
        <f t="shared" si="0"/>
        <v>0.30471074659760683</v>
      </c>
      <c r="R8" s="3">
        <f t="shared" si="0"/>
        <v>0.37517804996834481</v>
      </c>
      <c r="S8" s="3">
        <f t="shared" si="0"/>
        <v>0.36168306622535101</v>
      </c>
      <c r="T8" s="3">
        <f t="shared" si="0"/>
        <v>0.41060516249120832</v>
      </c>
      <c r="U8" s="3">
        <f t="shared" si="0"/>
        <v>0.3769968877237132</v>
      </c>
      <c r="V8" s="3">
        <f t="shared" si="0"/>
        <v>0.42139131152177139</v>
      </c>
      <c r="W8" s="3">
        <f t="shared" si="0"/>
        <v>0.40507739496550044</v>
      </c>
      <c r="X8" s="3">
        <f t="shared" si="0"/>
        <v>0.3860183236395841</v>
      </c>
      <c r="Y8" s="3">
        <f t="shared" si="0"/>
        <v>0.42142195282989786</v>
      </c>
      <c r="Z8" s="3">
        <f t="shared" si="0"/>
        <v>0.46323511818140067</v>
      </c>
      <c r="AA8" s="3">
        <f t="shared" si="0"/>
        <v>0.52075585421339921</v>
      </c>
    </row>
    <row r="9" spans="1:27" ht="21" x14ac:dyDescent="0.25">
      <c r="A9" s="2" t="s">
        <v>9</v>
      </c>
      <c r="B9" s="2" t="s">
        <v>10</v>
      </c>
      <c r="C9" s="22">
        <v>0.9</v>
      </c>
      <c r="D9" s="3">
        <f t="shared" ref="D9:L10" si="1">C39</f>
        <v>0.92566590296548867</v>
      </c>
      <c r="E9" s="3">
        <f t="shared" si="1"/>
        <v>0.91219979164625897</v>
      </c>
      <c r="F9" s="3">
        <f t="shared" si="1"/>
        <v>0.92980159686190833</v>
      </c>
      <c r="G9" s="3">
        <f t="shared" si="1"/>
        <v>0.90182091113347085</v>
      </c>
      <c r="H9" s="3">
        <f t="shared" si="1"/>
        <v>0.93566089210631276</v>
      </c>
      <c r="I9" s="3">
        <f t="shared" si="1"/>
        <v>0.8781466637038039</v>
      </c>
      <c r="J9" s="3">
        <f t="shared" si="1"/>
        <v>0.88653536189466997</v>
      </c>
      <c r="K9" s="3">
        <f t="shared" si="1"/>
        <v>0.84293017083448607</v>
      </c>
      <c r="L9" s="3">
        <f t="shared" si="1"/>
        <v>0.8514381331679397</v>
      </c>
      <c r="M9" s="3">
        <f t="shared" si="0"/>
        <v>0.82362683359844624</v>
      </c>
      <c r="N9" s="3">
        <f t="shared" si="0"/>
        <v>0.84211462791136171</v>
      </c>
      <c r="O9" s="3">
        <f t="shared" si="0"/>
        <v>0.7396550502966881</v>
      </c>
      <c r="P9" s="3">
        <f t="shared" si="0"/>
        <v>0.72573382485708149</v>
      </c>
      <c r="Q9" s="3">
        <f t="shared" si="0"/>
        <v>0.76967031173522837</v>
      </c>
      <c r="R9" s="3">
        <f t="shared" si="0"/>
        <v>0.77758798627126635</v>
      </c>
      <c r="S9" s="3">
        <f t="shared" si="0"/>
        <v>0.75059801878527876</v>
      </c>
      <c r="T9" s="3">
        <f t="shared" si="0"/>
        <v>0.77590255133658426</v>
      </c>
      <c r="U9" s="3">
        <f t="shared" si="0"/>
        <v>0.70284108445072524</v>
      </c>
      <c r="V9" s="3">
        <f t="shared" si="0"/>
        <v>0.74382055257200974</v>
      </c>
      <c r="W9" s="3">
        <f t="shared" si="0"/>
        <v>0.71663069164489146</v>
      </c>
      <c r="X9" s="3">
        <f t="shared" si="0"/>
        <v>0.61400492296688036</v>
      </c>
      <c r="Y9" s="3">
        <f t="shared" si="0"/>
        <v>0.65565625142607298</v>
      </c>
      <c r="Z9" s="3">
        <f t="shared" si="0"/>
        <v>0.68891672386476843</v>
      </c>
      <c r="AA9" s="3">
        <f t="shared" si="0"/>
        <v>0.70329690787276811</v>
      </c>
    </row>
    <row r="10" spans="1:27" ht="21" x14ac:dyDescent="0.25">
      <c r="A10" s="2" t="s">
        <v>11</v>
      </c>
      <c r="B10" s="2" t="s">
        <v>12</v>
      </c>
      <c r="C10" s="22">
        <v>0.1</v>
      </c>
      <c r="D10" s="3">
        <f t="shared" si="1"/>
        <v>0.16844240790796977</v>
      </c>
      <c r="E10" s="3">
        <f t="shared" si="1"/>
        <v>0.12804407395028067</v>
      </c>
      <c r="F10" s="3">
        <f t="shared" si="1"/>
        <v>0.20725219742070261</v>
      </c>
      <c r="G10" s="3">
        <f t="shared" si="1"/>
        <v>0.17927151169226513</v>
      </c>
      <c r="H10" s="3">
        <f t="shared" si="1"/>
        <v>0.22664748505424381</v>
      </c>
      <c r="I10" s="3">
        <f t="shared" si="1"/>
        <v>0.19789037085298938</v>
      </c>
      <c r="J10" s="3">
        <f t="shared" si="1"/>
        <v>0.26919430547535106</v>
      </c>
      <c r="K10" s="3">
        <f t="shared" si="1"/>
        <v>0.21105405072843914</v>
      </c>
      <c r="L10" s="3">
        <f t="shared" si="1"/>
        <v>0.27911774939606826</v>
      </c>
      <c r="M10" s="3">
        <f t="shared" si="0"/>
        <v>0.24435362493420137</v>
      </c>
      <c r="N10" s="3">
        <f t="shared" si="0"/>
        <v>0.29889261815730211</v>
      </c>
      <c r="O10" s="3">
        <f t="shared" si="0"/>
        <v>0.2974289099056639</v>
      </c>
      <c r="P10" s="3">
        <f t="shared" si="0"/>
        <v>0.2570573561308046</v>
      </c>
      <c r="Q10" s="3">
        <f t="shared" si="0"/>
        <v>0.3207652621041176</v>
      </c>
      <c r="R10" s="3">
        <f t="shared" si="0"/>
        <v>0.38648196075323277</v>
      </c>
      <c r="S10" s="3">
        <f t="shared" si="0"/>
        <v>0.38243346563033465</v>
      </c>
      <c r="T10" s="3">
        <f t="shared" si="0"/>
        <v>0.4068945137632633</v>
      </c>
      <c r="U10" s="3">
        <f t="shared" si="0"/>
        <v>0.36890255098261659</v>
      </c>
      <c r="V10" s="3">
        <f t="shared" si="0"/>
        <v>0.38666032050183985</v>
      </c>
      <c r="W10" s="3">
        <f t="shared" si="0"/>
        <v>0.37714386917734843</v>
      </c>
      <c r="X10" s="3">
        <f t="shared" si="0"/>
        <v>0.30970407833179825</v>
      </c>
      <c r="Y10" s="3">
        <f t="shared" si="0"/>
        <v>0.35187604839673081</v>
      </c>
      <c r="Z10" s="3">
        <f t="shared" si="0"/>
        <v>0.38561167044169331</v>
      </c>
      <c r="AA10" s="3">
        <f t="shared" si="0"/>
        <v>0.42371915806289234</v>
      </c>
    </row>
    <row r="11" spans="1:27" x14ac:dyDescent="0.2">
      <c r="C11" s="3"/>
      <c r="D11" s="3"/>
      <c r="E11" s="3"/>
      <c r="F11" s="3"/>
      <c r="G11" s="3"/>
      <c r="H11" s="3"/>
      <c r="I11" s="3"/>
      <c r="J11" s="3"/>
      <c r="K11" s="3"/>
      <c r="L11" s="3"/>
      <c r="M11" s="3"/>
      <c r="N11" s="3"/>
      <c r="O11" s="3"/>
      <c r="P11" s="3"/>
      <c r="Q11" s="3"/>
      <c r="R11" s="3"/>
      <c r="S11" s="3"/>
      <c r="T11" s="3"/>
      <c r="U11" s="3"/>
      <c r="V11" s="3"/>
      <c r="W11" s="3"/>
      <c r="X11" s="3"/>
      <c r="Y11" s="3"/>
      <c r="Z11" s="3"/>
      <c r="AA11" s="3"/>
    </row>
    <row r="12" spans="1:27" x14ac:dyDescent="0.2">
      <c r="A12" s="18" t="s">
        <v>13</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row>
    <row r="13" spans="1:27" ht="21" x14ac:dyDescent="0.25">
      <c r="A13" s="2" t="s">
        <v>14</v>
      </c>
      <c r="B13" s="2" t="s">
        <v>53</v>
      </c>
      <c r="C13" s="22">
        <v>0.99</v>
      </c>
      <c r="D13" s="3">
        <f t="shared" ref="D13:AA13" si="2">C13</f>
        <v>0.99</v>
      </c>
      <c r="E13" s="3">
        <f t="shared" si="2"/>
        <v>0.99</v>
      </c>
      <c r="F13" s="3">
        <f t="shared" si="2"/>
        <v>0.99</v>
      </c>
      <c r="G13" s="3">
        <f t="shared" si="2"/>
        <v>0.99</v>
      </c>
      <c r="H13" s="3">
        <f t="shared" si="2"/>
        <v>0.99</v>
      </c>
      <c r="I13" s="3">
        <f t="shared" si="2"/>
        <v>0.99</v>
      </c>
      <c r="J13" s="3">
        <f t="shared" si="2"/>
        <v>0.99</v>
      </c>
      <c r="K13" s="3">
        <f t="shared" si="2"/>
        <v>0.99</v>
      </c>
      <c r="L13" s="3">
        <f t="shared" si="2"/>
        <v>0.99</v>
      </c>
      <c r="M13" s="3">
        <f t="shared" si="2"/>
        <v>0.99</v>
      </c>
      <c r="N13" s="3">
        <f t="shared" si="2"/>
        <v>0.99</v>
      </c>
      <c r="O13" s="3">
        <f t="shared" si="2"/>
        <v>0.99</v>
      </c>
      <c r="P13" s="3">
        <f t="shared" si="2"/>
        <v>0.99</v>
      </c>
      <c r="Q13" s="3">
        <f t="shared" si="2"/>
        <v>0.99</v>
      </c>
      <c r="R13" s="3">
        <f t="shared" si="2"/>
        <v>0.99</v>
      </c>
      <c r="S13" s="3">
        <f t="shared" si="2"/>
        <v>0.99</v>
      </c>
      <c r="T13" s="3">
        <f t="shared" si="2"/>
        <v>0.99</v>
      </c>
      <c r="U13" s="3">
        <f t="shared" si="2"/>
        <v>0.99</v>
      </c>
      <c r="V13" s="3">
        <f t="shared" si="2"/>
        <v>0.99</v>
      </c>
      <c r="W13" s="3">
        <f t="shared" si="2"/>
        <v>0.99</v>
      </c>
      <c r="X13" s="3">
        <f t="shared" si="2"/>
        <v>0.99</v>
      </c>
      <c r="Y13" s="3">
        <f t="shared" si="2"/>
        <v>0.99</v>
      </c>
      <c r="Z13" s="3">
        <f t="shared" si="2"/>
        <v>0.99</v>
      </c>
      <c r="AA13" s="3">
        <f t="shared" si="2"/>
        <v>0.99</v>
      </c>
    </row>
    <row r="15" spans="1:27" x14ac:dyDescent="0.2">
      <c r="A15" s="17" t="s">
        <v>15</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row>
    <row r="16" spans="1:27" x14ac:dyDescent="0.2">
      <c r="A16" s="2" t="s">
        <v>16</v>
      </c>
      <c r="C16" s="2">
        <v>1</v>
      </c>
      <c r="D16" s="2">
        <v>2</v>
      </c>
      <c r="E16" s="2">
        <v>3</v>
      </c>
      <c r="F16" s="2">
        <v>4</v>
      </c>
      <c r="G16" s="2">
        <v>5</v>
      </c>
      <c r="H16" s="2">
        <v>6</v>
      </c>
      <c r="I16" s="2">
        <v>7</v>
      </c>
      <c r="J16" s="2">
        <v>8</v>
      </c>
      <c r="K16" s="2">
        <v>9</v>
      </c>
      <c r="L16" s="2">
        <v>10</v>
      </c>
      <c r="M16" s="2">
        <v>11</v>
      </c>
      <c r="N16" s="2">
        <v>12</v>
      </c>
      <c r="O16" s="2">
        <v>13</v>
      </c>
      <c r="P16" s="2">
        <v>14</v>
      </c>
      <c r="Q16" s="2">
        <v>15</v>
      </c>
      <c r="R16" s="2">
        <v>16</v>
      </c>
      <c r="S16" s="2">
        <v>17</v>
      </c>
      <c r="T16" s="2">
        <v>18</v>
      </c>
      <c r="U16" s="2">
        <v>19</v>
      </c>
      <c r="V16" s="2">
        <v>20</v>
      </c>
      <c r="W16" s="2">
        <v>21</v>
      </c>
      <c r="X16" s="2">
        <v>22</v>
      </c>
      <c r="Y16" s="2">
        <v>23</v>
      </c>
      <c r="Z16" s="2">
        <v>24</v>
      </c>
      <c r="AA16" s="2">
        <v>25</v>
      </c>
    </row>
    <row r="17" spans="1:27" x14ac:dyDescent="0.2">
      <c r="A17" s="2" t="s">
        <v>1</v>
      </c>
      <c r="B17" s="2" t="s">
        <v>17</v>
      </c>
      <c r="C17" s="2">
        <f>INDEX('[1]Training Data'!$B:$B,C16+1)</f>
        <v>0.9</v>
      </c>
      <c r="D17" s="2">
        <f>INDEX('[1]Training Data'!$B:$B,D16+1)</f>
        <v>0.2</v>
      </c>
      <c r="E17" s="2">
        <f>INDEX('[1]Training Data'!$B:$B,E16+1)</f>
        <v>0.8</v>
      </c>
      <c r="F17" s="2">
        <f>INDEX('[1]Training Data'!$B:$B,F16+1)</f>
        <v>0.3</v>
      </c>
      <c r="G17" s="2">
        <f>INDEX('[1]Training Data'!$B:$B,G16+1)</f>
        <v>0.7</v>
      </c>
      <c r="H17" s="2">
        <f>INDEX('[1]Training Data'!$B:$B,H16+1)</f>
        <v>0.1</v>
      </c>
      <c r="I17" s="2">
        <f>INDEX('[1]Training Data'!$B:$B,I16+1)</f>
        <v>0.95</v>
      </c>
      <c r="J17" s="2">
        <f>INDEX('[1]Training Data'!$B:$B,J16+1)</f>
        <v>0.4</v>
      </c>
      <c r="K17" s="2">
        <f>INDEX('[1]Training Data'!$B:$B,K16+1)</f>
        <v>0.85</v>
      </c>
      <c r="L17" s="2">
        <f>INDEX('[1]Training Data'!$B:$B,L16+1)</f>
        <v>0.15</v>
      </c>
      <c r="M17" s="2">
        <f>INDEX('[1]Training Data'!$B:$B,M16+1)</f>
        <v>0.34</v>
      </c>
      <c r="N17" s="2">
        <f>INDEX('[1]Training Data'!$B:$B,N16+1)</f>
        <v>0.43</v>
      </c>
      <c r="O17" s="2">
        <f>INDEX('[1]Training Data'!$B:$B,O16+1)</f>
        <v>0.41</v>
      </c>
      <c r="P17" s="2">
        <f>INDEX('[1]Training Data'!$B:$B,P16+1)</f>
        <v>0.12</v>
      </c>
      <c r="Q17" s="2">
        <f>INDEX('[1]Training Data'!$B:$B,Q16+1)</f>
        <v>0.89</v>
      </c>
      <c r="R17" s="2">
        <f>INDEX('[1]Training Data'!$B:$B,R16+1)</f>
        <v>0.1</v>
      </c>
      <c r="S17" s="2">
        <f>INDEX('[1]Training Data'!$B:$B,S16+1)</f>
        <v>0.57999999999999996</v>
      </c>
      <c r="T17" s="2">
        <f>INDEX('[1]Training Data'!$B:$B,T16+1)</f>
        <v>0.23</v>
      </c>
      <c r="U17" s="2">
        <f>INDEX('[1]Training Data'!$B:$B,U16+1)</f>
        <v>0.65</v>
      </c>
      <c r="V17" s="2">
        <f>INDEX('[1]Training Data'!$B:$B,V16+1)</f>
        <v>0.12</v>
      </c>
      <c r="W17" s="2">
        <f>INDEX('[1]Training Data'!$B:$B,W16+1)</f>
        <v>0.13</v>
      </c>
      <c r="X17" s="2">
        <f>INDEX('[1]Training Data'!$B:$B,X16+1)</f>
        <v>0.68</v>
      </c>
      <c r="Y17" s="2">
        <f>INDEX('[1]Training Data'!$B:$B,Y16+1)</f>
        <v>0.88</v>
      </c>
      <c r="Z17" s="2">
        <f>INDEX('[1]Training Data'!$B:$B,Z16+1)</f>
        <v>0.8</v>
      </c>
      <c r="AA17" s="2">
        <f>INDEX('[1]Training Data'!$B:$B,AA16+1)</f>
        <v>0.62</v>
      </c>
    </row>
    <row r="18" spans="1:27" x14ac:dyDescent="0.2">
      <c r="A18" s="2" t="s">
        <v>2</v>
      </c>
      <c r="B18" s="2" t="s">
        <v>18</v>
      </c>
      <c r="C18" s="2">
        <f>INDEX('[1]Training Data'!$C:$C,C16+1)</f>
        <v>0.3</v>
      </c>
      <c r="D18" s="2">
        <f>INDEX('[1]Training Data'!$C:$C,D16+1)</f>
        <v>0.1</v>
      </c>
      <c r="E18" s="2">
        <f>INDEX('[1]Training Data'!$C:$C,E16+1)</f>
        <v>0.2</v>
      </c>
      <c r="F18" s="2">
        <f>INDEX('[1]Training Data'!$C:$C,F16+1)</f>
        <v>0.2</v>
      </c>
      <c r="G18" s="2">
        <f>INDEX('[1]Training Data'!$C:$C,G16+1)</f>
        <v>0.5</v>
      </c>
      <c r="H18" s="2">
        <f>INDEX('[1]Training Data'!$C:$C,H16+1)</f>
        <v>0.4</v>
      </c>
      <c r="I18" s="2">
        <f>INDEX('[1]Training Data'!$C:$C,I16+1)</f>
        <v>0.1</v>
      </c>
      <c r="J18" s="2">
        <f>INDEX('[1]Training Data'!$C:$C,J16+1)</f>
        <v>0.3</v>
      </c>
      <c r="K18" s="2">
        <f>INDEX('[1]Training Data'!$C:$C,K16+1)</f>
        <v>0.1</v>
      </c>
      <c r="L18" s="2">
        <f>INDEX('[1]Training Data'!$C:$C,L16+1)</f>
        <v>0.2</v>
      </c>
      <c r="M18" s="2">
        <f>INDEX('[1]Training Data'!$C:$C,M16+1)</f>
        <v>0.2</v>
      </c>
      <c r="N18" s="2">
        <f>INDEX('[1]Training Data'!$C:$C,N16+1)</f>
        <v>0.7</v>
      </c>
      <c r="O18" s="2">
        <f>INDEX('[1]Training Data'!$C:$C,O16+1)</f>
        <v>0.1</v>
      </c>
      <c r="P18" s="2">
        <f>INDEX('[1]Training Data'!$C:$C,P16+1)</f>
        <v>0.6</v>
      </c>
      <c r="Q18" s="2">
        <f>INDEX('[1]Training Data'!$C:$C,Q16+1)</f>
        <v>0.1</v>
      </c>
      <c r="R18" s="2">
        <f>INDEX('[1]Training Data'!$C:$C,R16+1)</f>
        <v>0.2</v>
      </c>
      <c r="S18" s="2">
        <f>INDEX('[1]Training Data'!$C:$C,S16+1)</f>
        <v>0.3</v>
      </c>
      <c r="T18" s="2">
        <f>INDEX('[1]Training Data'!$C:$C,T16+1)</f>
        <v>0.5</v>
      </c>
      <c r="U18" s="2">
        <f>INDEX('[1]Training Data'!$C:$C,U16+1)</f>
        <v>0.6</v>
      </c>
      <c r="V18" s="2">
        <f>INDEX('[1]Training Data'!$C:$C,V16+1)</f>
        <v>0.2</v>
      </c>
      <c r="W18" s="2">
        <f>INDEX('[1]Training Data'!$C:$C,W16+1)</f>
        <v>0.7</v>
      </c>
      <c r="X18" s="2">
        <f>INDEX('[1]Training Data'!$C:$C,X16+1)</f>
        <v>0.8</v>
      </c>
      <c r="Y18" s="2">
        <f>INDEX('[1]Training Data'!$C:$C,Y16+1)</f>
        <v>0.7</v>
      </c>
      <c r="Z18" s="2">
        <f>INDEX('[1]Training Data'!$C:$C,Z16+1)</f>
        <v>0.2</v>
      </c>
      <c r="AA18" s="2">
        <f>INDEX('[1]Training Data'!$C:$C,AA16+1)</f>
        <v>0.4</v>
      </c>
    </row>
    <row r="19" spans="1:27" x14ac:dyDescent="0.2">
      <c r="A19" s="2" t="s">
        <v>3</v>
      </c>
      <c r="B19" s="2" t="s">
        <v>19</v>
      </c>
      <c r="C19" s="2">
        <f>INDEX('[1]Training Data'!$D:$D,C16+1)</f>
        <v>0.8</v>
      </c>
      <c r="D19" s="2">
        <f>INDEX('[1]Training Data'!$D:$D,D16+1)</f>
        <v>0.3</v>
      </c>
      <c r="E19" s="2">
        <f>INDEX('[1]Training Data'!$D:$D,E16+1)</f>
        <v>0.9</v>
      </c>
      <c r="F19" s="2">
        <f>INDEX('[1]Training Data'!$D:$D,F16+1)</f>
        <v>0.2</v>
      </c>
      <c r="G19" s="2">
        <f>INDEX('[1]Training Data'!$D:$D,G16+1)</f>
        <v>0.7</v>
      </c>
      <c r="H19" s="2">
        <f>INDEX('[1]Training Data'!$D:$D,H16+1)</f>
        <v>0.2</v>
      </c>
      <c r="I19" s="2">
        <f>INDEX('[1]Training Data'!$D:$D,I16+1)</f>
        <v>0.85</v>
      </c>
      <c r="J19" s="2">
        <f>INDEX('[1]Training Data'!$D:$D,J16+1)</f>
        <v>0.4</v>
      </c>
      <c r="K19" s="2">
        <f>INDEX('[1]Training Data'!$D:$D,K16+1)</f>
        <v>0.8</v>
      </c>
      <c r="L19" s="2">
        <f>INDEX('[1]Training Data'!$D:$D,L16+1)</f>
        <v>0.25</v>
      </c>
      <c r="M19" s="2">
        <f>INDEX('[1]Training Data'!$D:$D,M16+1)</f>
        <v>0.59</v>
      </c>
      <c r="N19" s="2">
        <f>INDEX('[1]Training Data'!$D:$D,N16+1)</f>
        <v>0.01</v>
      </c>
      <c r="O19" s="2">
        <f>INDEX('[1]Training Data'!$D:$D,O16+1)</f>
        <v>0.28999999999999998</v>
      </c>
      <c r="P19" s="2">
        <f>INDEX('[1]Training Data'!$D:$D,P16+1)</f>
        <v>0.87</v>
      </c>
      <c r="Q19" s="2">
        <f>INDEX('[1]Training Data'!$D:$D,Q16+1)</f>
        <v>0.83</v>
      </c>
      <c r="R19" s="2">
        <f>INDEX('[1]Training Data'!$D:$D,R16+1)</f>
        <v>0.03</v>
      </c>
      <c r="S19" s="2">
        <f>INDEX('[1]Training Data'!$D:$D,S16+1)</f>
        <v>0.28999999999999998</v>
      </c>
      <c r="T19" s="2">
        <f>INDEX('[1]Training Data'!$D:$D,T16+1)</f>
        <v>0.26</v>
      </c>
      <c r="U19" s="2">
        <f>INDEX('[1]Training Data'!$D:$D,U16+1)</f>
        <v>0.26</v>
      </c>
      <c r="V19" s="2">
        <f>INDEX('[1]Training Data'!$D:$D,V16+1)</f>
        <v>7.0000000000000007E-2</v>
      </c>
      <c r="W19" s="2">
        <f>INDEX('[1]Training Data'!$D:$D,W16+1)</f>
        <v>0.46</v>
      </c>
      <c r="X19" s="2">
        <f>INDEX('[1]Training Data'!$D:$D,X16+1)</f>
        <v>0.81</v>
      </c>
      <c r="Y19" s="2">
        <f>INDEX('[1]Training Data'!$D:$D,Y16+1)</f>
        <v>0.71</v>
      </c>
      <c r="Z19" s="2">
        <f>INDEX('[1]Training Data'!$D:$D,Z16+1)</f>
        <v>0.53</v>
      </c>
      <c r="AA19" s="2">
        <f>INDEX('[1]Training Data'!$D:$D,AA16+1)</f>
        <v>0.98</v>
      </c>
    </row>
    <row r="20" spans="1:27" x14ac:dyDescent="0.2">
      <c r="A20" s="2" t="s">
        <v>4</v>
      </c>
      <c r="C20" s="2">
        <f>INDEX('[1]Training Data'!$E:$E,C16+1)</f>
        <v>1</v>
      </c>
      <c r="D20" s="2">
        <f>INDEX('[1]Training Data'!$E:$E,D16+1)</f>
        <v>0</v>
      </c>
      <c r="E20" s="2">
        <f>INDEX('[1]Training Data'!$E:$E,E16+1)</f>
        <v>1</v>
      </c>
      <c r="F20" s="2">
        <f>INDEX('[1]Training Data'!$E:$E,F16+1)</f>
        <v>0</v>
      </c>
      <c r="G20" s="2">
        <f>INDEX('[1]Training Data'!$E:$E,G16+1)</f>
        <v>1</v>
      </c>
      <c r="H20" s="2">
        <f>INDEX('[1]Training Data'!$E:$E,H16+1)</f>
        <v>0</v>
      </c>
      <c r="I20" s="2">
        <f>INDEX('[1]Training Data'!$E:$E,I16+1)</f>
        <v>1</v>
      </c>
      <c r="J20" s="2">
        <f>INDEX('[1]Training Data'!$E:$E,J16+1)</f>
        <v>0</v>
      </c>
      <c r="K20" s="2">
        <f>INDEX('[1]Training Data'!$E:$E,K16+1)</f>
        <v>1</v>
      </c>
      <c r="L20" s="2">
        <f>INDEX('[1]Training Data'!$E:$E,L16+1)</f>
        <v>0</v>
      </c>
      <c r="M20" s="2">
        <f>INDEX('[1]Training Data'!$E:$E,M16+1)</f>
        <v>1</v>
      </c>
      <c r="N20" s="2">
        <f>INDEX('[1]Training Data'!$E:$E,N16+1)</f>
        <v>0</v>
      </c>
      <c r="O20" s="2">
        <f>INDEX('[1]Training Data'!$E:$E,O16+1)</f>
        <v>0</v>
      </c>
      <c r="P20" s="2">
        <f>INDEX('[1]Training Data'!$E:$E,P16+1)</f>
        <v>1</v>
      </c>
      <c r="Q20" s="2">
        <f>INDEX('[1]Training Data'!$E:$E,Q16+1)</f>
        <v>1</v>
      </c>
      <c r="R20" s="2">
        <f>INDEX('[1]Training Data'!$E:$E,R16+1)</f>
        <v>0</v>
      </c>
      <c r="S20" s="2">
        <f>INDEX('[1]Training Data'!$E:$E,S16+1)</f>
        <v>1</v>
      </c>
      <c r="T20" s="2">
        <f>INDEX('[1]Training Data'!$E:$E,T16+1)</f>
        <v>0</v>
      </c>
      <c r="U20" s="2">
        <f>INDEX('[1]Training Data'!$E:$E,U16+1)</f>
        <v>1</v>
      </c>
      <c r="V20" s="2">
        <f>INDEX('[1]Training Data'!$E:$E,V16+1)</f>
        <v>0</v>
      </c>
      <c r="W20" s="2">
        <f>INDEX('[1]Training Data'!$E:$E,W16+1)</f>
        <v>0</v>
      </c>
      <c r="X20" s="2">
        <f>INDEX('[1]Training Data'!$E:$E,X16+1)</f>
        <v>1</v>
      </c>
      <c r="Y20" s="2">
        <f>INDEX('[1]Training Data'!$E:$E,Y16+1)</f>
        <v>1</v>
      </c>
      <c r="Z20" s="2">
        <f>INDEX('[1]Training Data'!$E:$E,Z16+1)</f>
        <v>1</v>
      </c>
      <c r="AA20" s="2">
        <f>INDEX('[1]Training Data'!$E:$E,AA16+1)</f>
        <v>1</v>
      </c>
    </row>
    <row r="22" spans="1:27" x14ac:dyDescent="0.2">
      <c r="A22" s="16" t="s">
        <v>20</v>
      </c>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row>
    <row r="23" spans="1:27" ht="16" x14ac:dyDescent="0.2">
      <c r="A23" s="2" t="s">
        <v>21</v>
      </c>
      <c r="B23" s="6" t="s">
        <v>22</v>
      </c>
      <c r="C23" s="3">
        <f>C8*C17 + C9*C18 + C10*C19</f>
        <v>0.53</v>
      </c>
      <c r="D23" s="3">
        <f>D8*D17 + D9*D18 + D10*D19</f>
        <v>0.19849885444823301</v>
      </c>
      <c r="E23" s="3">
        <f t="shared" ref="E23:AA23" si="3">E8*E17 + E9*E18 + E10*E19</f>
        <v>0.49773201389090965</v>
      </c>
      <c r="F23" s="3">
        <f t="shared" si="3"/>
        <v>0.32355257099270329</v>
      </c>
      <c r="G23" s="3">
        <f t="shared" si="3"/>
        <v>0.77135168872088433</v>
      </c>
      <c r="H23" s="3">
        <f t="shared" si="3"/>
        <v>0.45218161904236653</v>
      </c>
      <c r="I23" s="3">
        <f t="shared" si="3"/>
        <v>0.55194562164525551</v>
      </c>
      <c r="J23" s="3">
        <f t="shared" si="3"/>
        <v>0.53011502179955217</v>
      </c>
      <c r="K23" s="3">
        <f t="shared" si="3"/>
        <v>0.53623000959347267</v>
      </c>
      <c r="L23" s="3">
        <f t="shared" si="3"/>
        <v>0.30087243688610066</v>
      </c>
      <c r="M23" s="3">
        <f t="shared" si="3"/>
        <v>0.43962763595523735</v>
      </c>
      <c r="N23" s="3">
        <f t="shared" si="3"/>
        <v>0.77132333490779315</v>
      </c>
      <c r="O23" s="3">
        <f t="shared" si="3"/>
        <v>0.30495008304730087</v>
      </c>
      <c r="P23" s="3">
        <f t="shared" si="3"/>
        <v>0.69459100865468626</v>
      </c>
      <c r="Q23" s="3">
        <f t="shared" si="3"/>
        <v>0.61439476319181052</v>
      </c>
      <c r="R23" s="3">
        <f t="shared" si="3"/>
        <v>0.20462986107368478</v>
      </c>
      <c r="S23" s="3">
        <f t="shared" si="3"/>
        <v>0.54586128907908427</v>
      </c>
      <c r="T23" s="3">
        <f t="shared" si="3"/>
        <v>0.58818303661971849</v>
      </c>
      <c r="U23" s="3">
        <f t="shared" si="3"/>
        <v>0.76266729094632901</v>
      </c>
      <c r="V23" s="3">
        <f t="shared" si="3"/>
        <v>0.22639729033214329</v>
      </c>
      <c r="W23" s="3">
        <f t="shared" si="3"/>
        <v>0.72778772531851932</v>
      </c>
      <c r="X23" s="3">
        <f t="shared" si="3"/>
        <v>1.0045567018971782</v>
      </c>
      <c r="Y23" s="3">
        <f t="shared" si="3"/>
        <v>1.07964268885024</v>
      </c>
      <c r="Z23" s="3">
        <f t="shared" si="3"/>
        <v>0.71274562465217173</v>
      </c>
      <c r="AA23" s="3">
        <f t="shared" si="3"/>
        <v>1.0194321676630493</v>
      </c>
    </row>
    <row r="24" spans="1:27" ht="16" x14ac:dyDescent="0.2">
      <c r="A24" s="2" t="s">
        <v>23</v>
      </c>
      <c r="B24" s="6" t="s">
        <v>24</v>
      </c>
      <c r="C24" s="3">
        <f>1/(1+EXP(-C23))</f>
        <v>0.62948311196739493</v>
      </c>
      <c r="D24" s="3">
        <f>1/(1+EXP(-D23))</f>
        <v>0.5494624111824955</v>
      </c>
      <c r="E24" s="3">
        <f t="shared" ref="E24:AA24" si="4">1/(1+EXP(-E23))</f>
        <v>0.62192619820526329</v>
      </c>
      <c r="F24" s="3">
        <f t="shared" si="4"/>
        <v>0.58018979609813437</v>
      </c>
      <c r="G24" s="3">
        <f t="shared" si="4"/>
        <v>0.68381321859113997</v>
      </c>
      <c r="H24" s="3">
        <f t="shared" si="4"/>
        <v>0.61115780804837017</v>
      </c>
      <c r="I24" s="3">
        <f t="shared" si="4"/>
        <v>0.63458687218690724</v>
      </c>
      <c r="J24" s="3">
        <f t="shared" si="4"/>
        <v>0.6295099385764531</v>
      </c>
      <c r="K24" s="3">
        <f t="shared" si="4"/>
        <v>0.63093498689973282</v>
      </c>
      <c r="L24" s="3">
        <f t="shared" si="4"/>
        <v>0.57465577739585827</v>
      </c>
      <c r="M24" s="3">
        <f t="shared" si="4"/>
        <v>0.60817030027267616</v>
      </c>
      <c r="N24" s="3">
        <f t="shared" si="4"/>
        <v>0.68380708810468671</v>
      </c>
      <c r="O24" s="3">
        <f t="shared" si="4"/>
        <v>0.57565215753757037</v>
      </c>
      <c r="P24" s="3">
        <f t="shared" si="4"/>
        <v>0.66698744010837763</v>
      </c>
      <c r="Q24" s="3">
        <f t="shared" si="4"/>
        <v>0.64894265399653872</v>
      </c>
      <c r="R24" s="3">
        <f t="shared" si="4"/>
        <v>0.55097969826973969</v>
      </c>
      <c r="S24" s="3">
        <f t="shared" si="4"/>
        <v>0.6331748464595951</v>
      </c>
      <c r="T24" s="3">
        <f t="shared" si="4"/>
        <v>0.64294814141387424</v>
      </c>
      <c r="U24" s="3">
        <f t="shared" si="4"/>
        <v>0.68193255119165208</v>
      </c>
      <c r="V24" s="3">
        <f t="shared" si="4"/>
        <v>0.5563588019995499</v>
      </c>
      <c r="W24" s="3">
        <f t="shared" si="4"/>
        <v>0.6743196165177443</v>
      </c>
      <c r="X24" s="3">
        <f t="shared" si="4"/>
        <v>0.73195353678050357</v>
      </c>
      <c r="Y24" s="3">
        <f t="shared" si="4"/>
        <v>0.7464263595645354</v>
      </c>
      <c r="Z24" s="3">
        <f t="shared" si="4"/>
        <v>0.67100755840081661</v>
      </c>
      <c r="AA24" s="3">
        <f t="shared" si="4"/>
        <v>0.73486197785410767</v>
      </c>
    </row>
    <row r="25" spans="1:27" ht="16" x14ac:dyDescent="0.2">
      <c r="A25" s="2" t="s">
        <v>25</v>
      </c>
      <c r="B25" s="6" t="s">
        <v>26</v>
      </c>
      <c r="C25" s="3">
        <f>C24</f>
        <v>0.62948311196739493</v>
      </c>
      <c r="D25" s="3">
        <f>D24</f>
        <v>0.5494624111824955</v>
      </c>
      <c r="E25" s="3">
        <f t="shared" ref="E25:AA25" si="5">E24</f>
        <v>0.62192619820526329</v>
      </c>
      <c r="F25" s="3">
        <f t="shared" si="5"/>
        <v>0.58018979609813437</v>
      </c>
      <c r="G25" s="3">
        <f t="shared" si="5"/>
        <v>0.68381321859113997</v>
      </c>
      <c r="H25" s="3">
        <f t="shared" si="5"/>
        <v>0.61115780804837017</v>
      </c>
      <c r="I25" s="3">
        <f t="shared" si="5"/>
        <v>0.63458687218690724</v>
      </c>
      <c r="J25" s="3">
        <f t="shared" si="5"/>
        <v>0.6295099385764531</v>
      </c>
      <c r="K25" s="3">
        <f t="shared" si="5"/>
        <v>0.63093498689973282</v>
      </c>
      <c r="L25" s="3">
        <f t="shared" si="5"/>
        <v>0.57465577739585827</v>
      </c>
      <c r="M25" s="3">
        <f t="shared" si="5"/>
        <v>0.60817030027267616</v>
      </c>
      <c r="N25" s="3">
        <f t="shared" si="5"/>
        <v>0.68380708810468671</v>
      </c>
      <c r="O25" s="3">
        <f t="shared" si="5"/>
        <v>0.57565215753757037</v>
      </c>
      <c r="P25" s="3">
        <f t="shared" si="5"/>
        <v>0.66698744010837763</v>
      </c>
      <c r="Q25" s="3">
        <f t="shared" si="5"/>
        <v>0.64894265399653872</v>
      </c>
      <c r="R25" s="3">
        <f t="shared" si="5"/>
        <v>0.55097969826973969</v>
      </c>
      <c r="S25" s="3">
        <f t="shared" si="5"/>
        <v>0.6331748464595951</v>
      </c>
      <c r="T25" s="3">
        <f t="shared" si="5"/>
        <v>0.64294814141387424</v>
      </c>
      <c r="U25" s="3">
        <f t="shared" si="5"/>
        <v>0.68193255119165208</v>
      </c>
      <c r="V25" s="3">
        <f t="shared" si="5"/>
        <v>0.5563588019995499</v>
      </c>
      <c r="W25" s="3">
        <f t="shared" si="5"/>
        <v>0.6743196165177443</v>
      </c>
      <c r="X25" s="3">
        <f t="shared" si="5"/>
        <v>0.73195353678050357</v>
      </c>
      <c r="Y25" s="3">
        <f t="shared" si="5"/>
        <v>0.7464263595645354</v>
      </c>
      <c r="Z25" s="3">
        <f t="shared" si="5"/>
        <v>0.67100755840081661</v>
      </c>
      <c r="AA25" s="3">
        <f t="shared" si="5"/>
        <v>0.73486197785410767</v>
      </c>
    </row>
    <row r="26" spans="1:27" ht="16" x14ac:dyDescent="0.2">
      <c r="A26" s="2" t="s">
        <v>27</v>
      </c>
      <c r="B26" s="6" t="s">
        <v>28</v>
      </c>
      <c r="C26" s="3">
        <f>C20-C25</f>
        <v>0.37051688803260507</v>
      </c>
      <c r="D26" s="3">
        <f>D20-D25</f>
        <v>-0.5494624111824955</v>
      </c>
      <c r="E26" s="3">
        <f t="shared" ref="E26:AA26" si="6">E20-E25</f>
        <v>0.37807380179473671</v>
      </c>
      <c r="F26" s="3">
        <f t="shared" si="6"/>
        <v>-0.58018979609813437</v>
      </c>
      <c r="G26" s="3">
        <f t="shared" si="6"/>
        <v>0.31618678140886003</v>
      </c>
      <c r="H26" s="3">
        <f t="shared" si="6"/>
        <v>-0.61115780804837017</v>
      </c>
      <c r="I26" s="3">
        <f t="shared" si="6"/>
        <v>0.36541312781309276</v>
      </c>
      <c r="J26" s="3">
        <f t="shared" si="6"/>
        <v>-0.6295099385764531</v>
      </c>
      <c r="K26" s="3">
        <f t="shared" si="6"/>
        <v>0.36906501310026718</v>
      </c>
      <c r="L26" s="3">
        <f t="shared" si="6"/>
        <v>-0.57465577739585827</v>
      </c>
      <c r="M26" s="3">
        <f t="shared" si="6"/>
        <v>0.39182969972732384</v>
      </c>
      <c r="N26" s="3">
        <f t="shared" si="6"/>
        <v>-0.68380708810468671</v>
      </c>
      <c r="O26" s="3">
        <f t="shared" si="6"/>
        <v>-0.57565215753757037</v>
      </c>
      <c r="P26" s="3">
        <f t="shared" si="6"/>
        <v>0.33301255989162237</v>
      </c>
      <c r="Q26" s="3">
        <f t="shared" si="6"/>
        <v>0.35105734600346128</v>
      </c>
      <c r="R26" s="3">
        <f t="shared" si="6"/>
        <v>-0.55097969826973969</v>
      </c>
      <c r="S26" s="3">
        <f t="shared" si="6"/>
        <v>0.3668251535404049</v>
      </c>
      <c r="T26" s="3">
        <f t="shared" si="6"/>
        <v>-0.64294814141387424</v>
      </c>
      <c r="U26" s="3">
        <f t="shared" si="6"/>
        <v>0.31806744880834792</v>
      </c>
      <c r="V26" s="3">
        <f t="shared" si="6"/>
        <v>-0.5563588019995499</v>
      </c>
      <c r="W26" s="3">
        <f t="shared" si="6"/>
        <v>-0.6743196165177443</v>
      </c>
      <c r="X26" s="3">
        <f t="shared" si="6"/>
        <v>0.26804646321949643</v>
      </c>
      <c r="Y26" s="3">
        <f t="shared" si="6"/>
        <v>0.2535736404354646</v>
      </c>
      <c r="Z26" s="3">
        <f t="shared" si="6"/>
        <v>0.32899244159918339</v>
      </c>
      <c r="AA26" s="3">
        <f t="shared" si="6"/>
        <v>0.26513802214589233</v>
      </c>
    </row>
    <row r="27" spans="1:27" ht="16" x14ac:dyDescent="0.2">
      <c r="A27" s="7" t="s">
        <v>29</v>
      </c>
      <c r="B27" s="8" t="s">
        <v>30</v>
      </c>
      <c r="C27" s="9">
        <f>0.5*C26^2</f>
        <v>6.8641382158682998E-2</v>
      </c>
      <c r="D27" s="9">
        <f>0.5*D26^2</f>
        <v>0.15095447065124087</v>
      </c>
      <c r="E27" s="9">
        <f t="shared" ref="E27:AA27" si="7">0.5*E26^2</f>
        <v>7.1469899801762923E-2</v>
      </c>
      <c r="F27" s="9">
        <f t="shared" si="7"/>
        <v>0.16831009974819736</v>
      </c>
      <c r="G27" s="9">
        <f t="shared" si="7"/>
        <v>4.9987040368847116E-2</v>
      </c>
      <c r="H27" s="9">
        <f t="shared" si="7"/>
        <v>0.18675693316924424</v>
      </c>
      <c r="I27" s="9">
        <f t="shared" si="7"/>
        <v>6.6763376989073836E-2</v>
      </c>
      <c r="J27" s="9">
        <f t="shared" si="7"/>
        <v>0.19814138138326487</v>
      </c>
      <c r="K27" s="9">
        <f t="shared" si="7"/>
        <v>6.8104491947350188E-2</v>
      </c>
      <c r="L27" s="9">
        <f t="shared" si="7"/>
        <v>0.16511463124721912</v>
      </c>
      <c r="M27" s="9">
        <f t="shared" si="7"/>
        <v>7.6765256794202388E-2</v>
      </c>
      <c r="N27" s="9">
        <f t="shared" si="7"/>
        <v>0.23379606687110538</v>
      </c>
      <c r="O27" s="9">
        <f t="shared" si="7"/>
        <v>0.16568770323882986</v>
      </c>
      <c r="P27" s="9">
        <f t="shared" si="7"/>
        <v>5.5448682522785689E-2</v>
      </c>
      <c r="Q27" s="9">
        <f t="shared" si="7"/>
        <v>6.1620630091496965E-2</v>
      </c>
      <c r="R27" s="9">
        <f t="shared" si="7"/>
        <v>0.1517893139527067</v>
      </c>
      <c r="S27" s="9">
        <f t="shared" si="7"/>
        <v>6.7280346634970817E-2</v>
      </c>
      <c r="T27" s="9">
        <f t="shared" si="7"/>
        <v>0.20669115627377763</v>
      </c>
      <c r="U27" s="9">
        <f t="shared" si="7"/>
        <v>5.0583450995725511E-2</v>
      </c>
      <c r="V27" s="9">
        <f t="shared" si="7"/>
        <v>0.15476755828118718</v>
      </c>
      <c r="W27" s="9">
        <f t="shared" si="7"/>
        <v>0.22735347261031888</v>
      </c>
      <c r="X27" s="9">
        <f t="shared" si="7"/>
        <v>3.5924453222240429E-2</v>
      </c>
      <c r="Y27" s="9">
        <f t="shared" si="7"/>
        <v>3.214979556184714E-2</v>
      </c>
      <c r="Z27" s="9">
        <f t="shared" si="7"/>
        <v>5.4118013314696047E-2</v>
      </c>
      <c r="AA27" s="9">
        <f t="shared" si="7"/>
        <v>3.5149085393717847E-2</v>
      </c>
    </row>
    <row r="29" spans="1:27" x14ac:dyDescent="0.2">
      <c r="A29" s="19" t="s">
        <v>31</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row>
    <row r="30" spans="1:27" x14ac:dyDescent="0.2">
      <c r="A30" s="2" t="s">
        <v>32</v>
      </c>
      <c r="B30" s="10" t="s">
        <v>33</v>
      </c>
      <c r="C30" s="3">
        <f>C24*(1-C24)</f>
        <v>0.23323412371523908</v>
      </c>
      <c r="D30" s="3">
        <f>D24*(1-D24)</f>
        <v>0.24755346988001375</v>
      </c>
      <c r="E30" s="3">
        <f t="shared" ref="E30:AA30" si="8">E24*(1-E24)</f>
        <v>0.23513400219121086</v>
      </c>
      <c r="F30" s="3">
        <f t="shared" si="8"/>
        <v>0.24356959660173963</v>
      </c>
      <c r="G30" s="3">
        <f t="shared" si="8"/>
        <v>0.2162127006711658</v>
      </c>
      <c r="H30" s="3">
        <f t="shared" si="8"/>
        <v>0.23764394170988171</v>
      </c>
      <c r="I30" s="3">
        <f t="shared" si="8"/>
        <v>0.23188637383494509</v>
      </c>
      <c r="J30" s="3">
        <f t="shared" si="8"/>
        <v>0.23322717580992336</v>
      </c>
      <c r="K30" s="3">
        <f t="shared" si="8"/>
        <v>0.23285602920556681</v>
      </c>
      <c r="L30" s="3">
        <f t="shared" si="8"/>
        <v>0.24442651490142006</v>
      </c>
      <c r="M30" s="3">
        <f t="shared" si="8"/>
        <v>0.23829918613891907</v>
      </c>
      <c r="N30" s="3">
        <f t="shared" si="8"/>
        <v>0.21621495436247593</v>
      </c>
      <c r="O30" s="3">
        <f t="shared" si="8"/>
        <v>0.24427675105991065</v>
      </c>
      <c r="P30" s="3">
        <f t="shared" si="8"/>
        <v>0.222115194846051</v>
      </c>
      <c r="Q30" s="3">
        <f t="shared" si="8"/>
        <v>0.22781608582046733</v>
      </c>
      <c r="R30" s="3">
        <f t="shared" si="8"/>
        <v>0.24740107036432629</v>
      </c>
      <c r="S30" s="3">
        <f t="shared" si="8"/>
        <v>0.23226446027046327</v>
      </c>
      <c r="T30" s="3">
        <f t="shared" si="8"/>
        <v>0.22956582886631902</v>
      </c>
      <c r="U30" s="3">
        <f t="shared" si="8"/>
        <v>0.21690054681689688</v>
      </c>
      <c r="V30" s="3">
        <f t="shared" si="8"/>
        <v>0.24682368543717553</v>
      </c>
      <c r="W30" s="3">
        <f t="shared" si="8"/>
        <v>0.21961267129710657</v>
      </c>
      <c r="X30" s="3">
        <f t="shared" si="8"/>
        <v>0.19619755677501557</v>
      </c>
      <c r="Y30" s="3">
        <f t="shared" si="8"/>
        <v>0.1892740493117703</v>
      </c>
      <c r="Z30" s="3">
        <f t="shared" si="8"/>
        <v>0.22075641496979129</v>
      </c>
      <c r="AA30" s="3">
        <f t="shared" si="8"/>
        <v>0.19483985135845663</v>
      </c>
    </row>
    <row r="31" spans="1:27" x14ac:dyDescent="0.2">
      <c r="A31" s="2" t="s">
        <v>34</v>
      </c>
      <c r="B31" s="10" t="s">
        <v>35</v>
      </c>
      <c r="C31" s="3">
        <f>-(C26)*C30</f>
        <v>-8.6417181701981996E-2</v>
      </c>
      <c r="D31" s="3">
        <f>-(D26)*D30</f>
        <v>0.13602132645686563</v>
      </c>
      <c r="E31" s="3">
        <f t="shared" ref="E31:AA31" si="9">-(E26)*E30</f>
        <v>-8.8898006139643049E-2</v>
      </c>
      <c r="F31" s="3">
        <f t="shared" si="9"/>
        <v>0.14131659458806817</v>
      </c>
      <c r="G31" s="3">
        <f t="shared" si="9"/>
        <v>-6.8363597924933184E-2</v>
      </c>
      <c r="H31" s="3">
        <f t="shared" si="9"/>
        <v>0.14523795051138597</v>
      </c>
      <c r="I31" s="3">
        <f t="shared" si="9"/>
        <v>-8.4734325160263399E-2</v>
      </c>
      <c r="J31" s="3">
        <f t="shared" si="9"/>
        <v>0.14681882511846447</v>
      </c>
      <c r="K31" s="3">
        <f t="shared" si="9"/>
        <v>-8.5939013469228706E-2</v>
      </c>
      <c r="L31" s="3">
        <f t="shared" si="9"/>
        <v>0.14046110893683589</v>
      </c>
      <c r="M31" s="3">
        <f t="shared" si="9"/>
        <v>-9.3372698550078306E-2</v>
      </c>
      <c r="N31" s="3">
        <f t="shared" si="9"/>
        <v>0.1478493183472924</v>
      </c>
      <c r="O31" s="3">
        <f t="shared" si="9"/>
        <v>0.14061843878390554</v>
      </c>
      <c r="P31" s="3">
        <f t="shared" si="9"/>
        <v>-7.3967149626509923E-2</v>
      </c>
      <c r="Q31" s="3">
        <f t="shared" si="9"/>
        <v>-7.9976510465030029E-2</v>
      </c>
      <c r="R31" s="3">
        <f t="shared" si="9"/>
        <v>0.13631296710094715</v>
      </c>
      <c r="S31" s="3">
        <f t="shared" si="9"/>
        <v>-8.5200446300691957E-2</v>
      </c>
      <c r="T31" s="3">
        <f t="shared" si="9"/>
        <v>0.14759892300173533</v>
      </c>
      <c r="U31" s="3">
        <f t="shared" si="9"/>
        <v>-6.8989003571186022E-2</v>
      </c>
      <c r="V31" s="3">
        <f t="shared" si="9"/>
        <v>0.13732252993494073</v>
      </c>
      <c r="W31" s="3">
        <f t="shared" si="9"/>
        <v>0.14808913229150233</v>
      </c>
      <c r="X31" s="3">
        <f t="shared" si="9"/>
        <v>-5.2590061185849274E-2</v>
      </c>
      <c r="Y31" s="3">
        <f t="shared" si="9"/>
        <v>-4.7994909723947238E-2</v>
      </c>
      <c r="Z31" s="3">
        <f t="shared" si="9"/>
        <v>-7.2627191959594148E-2</v>
      </c>
      <c r="AA31" s="3">
        <f t="shared" si="9"/>
        <v>-5.1659452824380843E-2</v>
      </c>
    </row>
    <row r="32" spans="1:27" x14ac:dyDescent="0.2">
      <c r="C32" s="3"/>
      <c r="D32" s="3"/>
      <c r="E32" s="3"/>
      <c r="F32" s="3"/>
      <c r="G32" s="3"/>
      <c r="H32" s="3"/>
      <c r="I32" s="3"/>
      <c r="J32" s="3"/>
      <c r="K32" s="3"/>
      <c r="L32" s="3"/>
      <c r="M32" s="3"/>
      <c r="N32" s="3"/>
      <c r="O32" s="3"/>
      <c r="P32" s="3"/>
      <c r="Q32" s="3"/>
      <c r="R32" s="3"/>
      <c r="S32" s="3"/>
      <c r="T32" s="3"/>
      <c r="U32" s="3"/>
      <c r="V32" s="3"/>
      <c r="W32" s="3"/>
      <c r="X32" s="3"/>
      <c r="Y32" s="3"/>
      <c r="Z32" s="3"/>
      <c r="AA32" s="3"/>
    </row>
    <row r="33" spans="1:27" x14ac:dyDescent="0.2">
      <c r="A33" s="2" t="s">
        <v>36</v>
      </c>
      <c r="B33" s="10" t="s">
        <v>37</v>
      </c>
      <c r="C33" s="3">
        <f>C31*C17</f>
        <v>-7.7775463531783801E-2</v>
      </c>
      <c r="D33" s="3">
        <f>D31*D17</f>
        <v>2.7204265291373125E-2</v>
      </c>
      <c r="E33" s="3">
        <f t="shared" ref="E33:AA33" si="10">E31*E17</f>
        <v>-7.1118404911714436E-2</v>
      </c>
      <c r="F33" s="3">
        <f t="shared" si="10"/>
        <v>4.239497837642045E-2</v>
      </c>
      <c r="G33" s="3">
        <f t="shared" si="10"/>
        <v>-4.7854518547453227E-2</v>
      </c>
      <c r="H33" s="3">
        <f t="shared" si="10"/>
        <v>1.4523795051138598E-2</v>
      </c>
      <c r="I33" s="3">
        <f t="shared" si="10"/>
        <v>-8.0497608902250231E-2</v>
      </c>
      <c r="J33" s="3">
        <f t="shared" si="10"/>
        <v>5.872753004738579E-2</v>
      </c>
      <c r="K33" s="3">
        <f t="shared" si="10"/>
        <v>-7.3048161448844393E-2</v>
      </c>
      <c r="L33" s="3">
        <f t="shared" si="10"/>
        <v>2.1069166340525382E-2</v>
      </c>
      <c r="M33" s="3">
        <f t="shared" si="10"/>
        <v>-3.174671750702663E-2</v>
      </c>
      <c r="N33" s="3">
        <f t="shared" si="10"/>
        <v>6.3575206889335725E-2</v>
      </c>
      <c r="O33" s="3">
        <f t="shared" si="10"/>
        <v>5.7653559901401266E-2</v>
      </c>
      <c r="P33" s="3">
        <f t="shared" si="10"/>
        <v>-8.8760579551811908E-3</v>
      </c>
      <c r="Q33" s="3">
        <f t="shared" si="10"/>
        <v>-7.1179094313876728E-2</v>
      </c>
      <c r="R33" s="3">
        <f t="shared" si="10"/>
        <v>1.3631296710094715E-2</v>
      </c>
      <c r="S33" s="3">
        <f t="shared" si="10"/>
        <v>-4.9416258854401332E-2</v>
      </c>
      <c r="T33" s="3">
        <f t="shared" si="10"/>
        <v>3.3947752290399126E-2</v>
      </c>
      <c r="U33" s="3">
        <f t="shared" si="10"/>
        <v>-4.4842852321270915E-2</v>
      </c>
      <c r="V33" s="3">
        <f t="shared" si="10"/>
        <v>1.6478703592192889E-2</v>
      </c>
      <c r="W33" s="3">
        <f t="shared" si="10"/>
        <v>1.9251587197895305E-2</v>
      </c>
      <c r="X33" s="3">
        <f t="shared" si="10"/>
        <v>-3.576124160637751E-2</v>
      </c>
      <c r="Y33" s="3">
        <f t="shared" si="10"/>
        <v>-4.2235520557073566E-2</v>
      </c>
      <c r="Z33" s="3">
        <f t="shared" si="10"/>
        <v>-5.8101753567675322E-2</v>
      </c>
      <c r="AA33" s="3">
        <f t="shared" si="10"/>
        <v>-3.202886075111612E-2</v>
      </c>
    </row>
    <row r="34" spans="1:27" x14ac:dyDescent="0.2">
      <c r="A34" s="2" t="s">
        <v>38</v>
      </c>
      <c r="B34" s="10" t="s">
        <v>39</v>
      </c>
      <c r="C34" s="3">
        <f>C31*C18</f>
        <v>-2.5925154510594597E-2</v>
      </c>
      <c r="D34" s="3">
        <f>D31*D18</f>
        <v>1.3602132645686563E-2</v>
      </c>
      <c r="E34" s="3">
        <f t="shared" ref="E34:AA34" si="11">E31*E18</f>
        <v>-1.7779601227928609E-2</v>
      </c>
      <c r="F34" s="3">
        <f t="shared" si="11"/>
        <v>2.8263318917613633E-2</v>
      </c>
      <c r="G34" s="3">
        <f t="shared" si="11"/>
        <v>-3.4181798962466592E-2</v>
      </c>
      <c r="H34" s="3">
        <f t="shared" si="11"/>
        <v>5.8095180204554391E-2</v>
      </c>
      <c r="I34" s="3">
        <f t="shared" si="11"/>
        <v>-8.4734325160263409E-3</v>
      </c>
      <c r="J34" s="3">
        <f t="shared" si="11"/>
        <v>4.4045647535539342E-2</v>
      </c>
      <c r="K34" s="3">
        <f t="shared" si="11"/>
        <v>-8.5939013469228717E-3</v>
      </c>
      <c r="L34" s="3">
        <f t="shared" si="11"/>
        <v>2.8092221787367179E-2</v>
      </c>
      <c r="M34" s="3">
        <f t="shared" si="11"/>
        <v>-1.8674539710015661E-2</v>
      </c>
      <c r="N34" s="3">
        <f t="shared" si="11"/>
        <v>0.10349452284310467</v>
      </c>
      <c r="O34" s="3">
        <f t="shared" si="11"/>
        <v>1.4061843878390554E-2</v>
      </c>
      <c r="P34" s="3">
        <f t="shared" si="11"/>
        <v>-4.4380289775905954E-2</v>
      </c>
      <c r="Q34" s="3">
        <f t="shared" si="11"/>
        <v>-7.9976510465030026E-3</v>
      </c>
      <c r="R34" s="3">
        <f t="shared" si="11"/>
        <v>2.726259342018943E-2</v>
      </c>
      <c r="S34" s="3">
        <f t="shared" si="11"/>
        <v>-2.5560133890207587E-2</v>
      </c>
      <c r="T34" s="3">
        <f t="shared" si="11"/>
        <v>7.3799461500867664E-2</v>
      </c>
      <c r="U34" s="3">
        <f t="shared" si="11"/>
        <v>-4.1393402142711609E-2</v>
      </c>
      <c r="V34" s="3">
        <f t="shared" si="11"/>
        <v>2.7464505986988148E-2</v>
      </c>
      <c r="W34" s="3">
        <f t="shared" si="11"/>
        <v>0.10366239260405163</v>
      </c>
      <c r="X34" s="3">
        <f t="shared" si="11"/>
        <v>-4.2072048948679421E-2</v>
      </c>
      <c r="Y34" s="3">
        <f t="shared" si="11"/>
        <v>-3.3596436806763066E-2</v>
      </c>
      <c r="Z34" s="3">
        <f t="shared" si="11"/>
        <v>-1.4525438391918831E-2</v>
      </c>
      <c r="AA34" s="3">
        <f t="shared" si="11"/>
        <v>-2.066378112975234E-2</v>
      </c>
    </row>
    <row r="35" spans="1:27" x14ac:dyDescent="0.2">
      <c r="A35" s="2" t="s">
        <v>40</v>
      </c>
      <c r="B35" s="10" t="s">
        <v>41</v>
      </c>
      <c r="C35" s="3">
        <f>C31*C19</f>
        <v>-6.9133745361585605E-2</v>
      </c>
      <c r="D35" s="3">
        <f>D31*D19</f>
        <v>4.0806397937059688E-2</v>
      </c>
      <c r="E35" s="3">
        <f t="shared" ref="E35:AA35" si="12">E31*E19</f>
        <v>-8.0008205525678749E-2</v>
      </c>
      <c r="F35" s="3">
        <f t="shared" si="12"/>
        <v>2.8263318917613633E-2</v>
      </c>
      <c r="G35" s="3">
        <f t="shared" si="12"/>
        <v>-4.7854518547453227E-2</v>
      </c>
      <c r="H35" s="3">
        <f t="shared" si="12"/>
        <v>2.9047590102277195E-2</v>
      </c>
      <c r="I35" s="3">
        <f t="shared" si="12"/>
        <v>-7.2024176386223882E-2</v>
      </c>
      <c r="J35" s="3">
        <f t="shared" si="12"/>
        <v>5.872753004738579E-2</v>
      </c>
      <c r="K35" s="3">
        <f t="shared" si="12"/>
        <v>-6.8751210775382973E-2</v>
      </c>
      <c r="L35" s="3">
        <f t="shared" si="12"/>
        <v>3.5115277234208972E-2</v>
      </c>
      <c r="M35" s="3">
        <f t="shared" si="12"/>
        <v>-5.5089892144546196E-2</v>
      </c>
      <c r="N35" s="3">
        <f t="shared" si="12"/>
        <v>1.4784931834729239E-3</v>
      </c>
      <c r="O35" s="3">
        <f t="shared" si="12"/>
        <v>4.0779347247332599E-2</v>
      </c>
      <c r="P35" s="3">
        <f t="shared" si="12"/>
        <v>-6.4351420175063637E-2</v>
      </c>
      <c r="Q35" s="3">
        <f t="shared" si="12"/>
        <v>-6.6380503685974923E-2</v>
      </c>
      <c r="R35" s="3">
        <f t="shared" si="12"/>
        <v>4.089389013028414E-3</v>
      </c>
      <c r="S35" s="3">
        <f t="shared" si="12"/>
        <v>-2.4708129427200666E-2</v>
      </c>
      <c r="T35" s="3">
        <f t="shared" si="12"/>
        <v>3.8375719980451188E-2</v>
      </c>
      <c r="U35" s="3">
        <f t="shared" si="12"/>
        <v>-1.7937140928508365E-2</v>
      </c>
      <c r="V35" s="3">
        <f t="shared" si="12"/>
        <v>9.6125770954458515E-3</v>
      </c>
      <c r="W35" s="3">
        <f t="shared" si="12"/>
        <v>6.8121000854091077E-2</v>
      </c>
      <c r="X35" s="3">
        <f t="shared" si="12"/>
        <v>-4.2597949560537918E-2</v>
      </c>
      <c r="Y35" s="3">
        <f t="shared" si="12"/>
        <v>-3.407638590400254E-2</v>
      </c>
      <c r="Z35" s="3">
        <f t="shared" si="12"/>
        <v>-3.8492411738584899E-2</v>
      </c>
      <c r="AA35" s="3">
        <f t="shared" si="12"/>
        <v>-5.0626263767893226E-2</v>
      </c>
    </row>
    <row r="37" spans="1:27" x14ac:dyDescent="0.2">
      <c r="A37" s="16" t="s">
        <v>42</v>
      </c>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row>
    <row r="38" spans="1:27" ht="21" x14ac:dyDescent="0.25">
      <c r="A38" s="2" t="s">
        <v>43</v>
      </c>
      <c r="B38" s="10" t="s">
        <v>44</v>
      </c>
      <c r="C38" s="11">
        <f>C8-C13*C33</f>
        <v>0.27699770889646597</v>
      </c>
      <c r="D38" s="11">
        <f>D8-D13*D33</f>
        <v>0.25006548625800656</v>
      </c>
      <c r="E38" s="11">
        <f t="shared" ref="E38:AA38" si="13">E8-E13*E33</f>
        <v>0.32047270712060383</v>
      </c>
      <c r="F38" s="11">
        <f t="shared" si="13"/>
        <v>0.2785016785279476</v>
      </c>
      <c r="G38" s="11">
        <f t="shared" si="13"/>
        <v>0.32587765188992629</v>
      </c>
      <c r="H38" s="11">
        <f t="shared" si="13"/>
        <v>0.3114990947892991</v>
      </c>
      <c r="I38" s="11">
        <f t="shared" si="13"/>
        <v>0.39119172760252685</v>
      </c>
      <c r="J38" s="11">
        <f t="shared" si="13"/>
        <v>0.33305147285561493</v>
      </c>
      <c r="K38" s="11">
        <f t="shared" si="13"/>
        <v>0.40536915268997087</v>
      </c>
      <c r="L38" s="11">
        <f t="shared" si="13"/>
        <v>0.38451067801285072</v>
      </c>
      <c r="M38" s="11">
        <f t="shared" si="13"/>
        <v>0.41593992834480709</v>
      </c>
      <c r="N38" s="11">
        <f t="shared" si="13"/>
        <v>0.3530004735243647</v>
      </c>
      <c r="O38" s="11">
        <f t="shared" si="13"/>
        <v>0.29592344922197744</v>
      </c>
      <c r="P38" s="11">
        <f t="shared" si="13"/>
        <v>0.30471074659760683</v>
      </c>
      <c r="Q38" s="11">
        <f t="shared" si="13"/>
        <v>0.37517804996834481</v>
      </c>
      <c r="R38" s="11">
        <f t="shared" si="13"/>
        <v>0.36168306622535101</v>
      </c>
      <c r="S38" s="11">
        <f t="shared" si="13"/>
        <v>0.41060516249120832</v>
      </c>
      <c r="T38" s="11">
        <f t="shared" si="13"/>
        <v>0.3769968877237132</v>
      </c>
      <c r="U38" s="11">
        <f t="shared" si="13"/>
        <v>0.42139131152177139</v>
      </c>
      <c r="V38" s="11">
        <f t="shared" si="13"/>
        <v>0.40507739496550044</v>
      </c>
      <c r="W38" s="11">
        <f t="shared" si="13"/>
        <v>0.3860183236395841</v>
      </c>
      <c r="X38" s="11">
        <f t="shared" si="13"/>
        <v>0.42142195282989786</v>
      </c>
      <c r="Y38" s="11">
        <f t="shared" si="13"/>
        <v>0.46323511818140067</v>
      </c>
      <c r="Z38" s="11">
        <f t="shared" si="13"/>
        <v>0.52075585421339921</v>
      </c>
      <c r="AA38" s="23">
        <f t="shared" si="13"/>
        <v>0.55246442635700421</v>
      </c>
    </row>
    <row r="39" spans="1:27" ht="21" x14ac:dyDescent="0.25">
      <c r="A39" s="2" t="s">
        <v>45</v>
      </c>
      <c r="B39" s="10" t="s">
        <v>46</v>
      </c>
      <c r="C39" s="11">
        <f>C9-C13*C34</f>
        <v>0.92566590296548867</v>
      </c>
      <c r="D39" s="11">
        <f>D9-D13*D34</f>
        <v>0.91219979164625897</v>
      </c>
      <c r="E39" s="11">
        <f t="shared" ref="E39:AA39" si="14">E9-E13*E34</f>
        <v>0.92980159686190833</v>
      </c>
      <c r="F39" s="11">
        <f t="shared" si="14"/>
        <v>0.90182091113347085</v>
      </c>
      <c r="G39" s="11">
        <f t="shared" si="14"/>
        <v>0.93566089210631276</v>
      </c>
      <c r="H39" s="11">
        <f t="shared" si="14"/>
        <v>0.8781466637038039</v>
      </c>
      <c r="I39" s="11">
        <f t="shared" si="14"/>
        <v>0.88653536189466997</v>
      </c>
      <c r="J39" s="11">
        <f t="shared" si="14"/>
        <v>0.84293017083448607</v>
      </c>
      <c r="K39" s="11">
        <f t="shared" si="14"/>
        <v>0.8514381331679397</v>
      </c>
      <c r="L39" s="11">
        <f t="shared" si="14"/>
        <v>0.82362683359844624</v>
      </c>
      <c r="M39" s="11">
        <f t="shared" si="14"/>
        <v>0.84211462791136171</v>
      </c>
      <c r="N39" s="11">
        <f t="shared" si="14"/>
        <v>0.7396550502966881</v>
      </c>
      <c r="O39" s="11">
        <f t="shared" si="14"/>
        <v>0.72573382485708149</v>
      </c>
      <c r="P39" s="11">
        <f t="shared" si="14"/>
        <v>0.76967031173522837</v>
      </c>
      <c r="Q39" s="11">
        <f t="shared" si="14"/>
        <v>0.77758798627126635</v>
      </c>
      <c r="R39" s="11">
        <f t="shared" si="14"/>
        <v>0.75059801878527876</v>
      </c>
      <c r="S39" s="11">
        <f t="shared" si="14"/>
        <v>0.77590255133658426</v>
      </c>
      <c r="T39" s="11">
        <f t="shared" si="14"/>
        <v>0.70284108445072524</v>
      </c>
      <c r="U39" s="11">
        <f t="shared" si="14"/>
        <v>0.74382055257200974</v>
      </c>
      <c r="V39" s="11">
        <f t="shared" si="14"/>
        <v>0.71663069164489146</v>
      </c>
      <c r="W39" s="11">
        <f t="shared" si="14"/>
        <v>0.61400492296688036</v>
      </c>
      <c r="X39" s="11">
        <f t="shared" si="14"/>
        <v>0.65565625142607298</v>
      </c>
      <c r="Y39" s="11">
        <f t="shared" si="14"/>
        <v>0.68891672386476843</v>
      </c>
      <c r="Z39" s="11">
        <f t="shared" si="14"/>
        <v>0.70329690787276811</v>
      </c>
      <c r="AA39" s="23">
        <f t="shared" si="14"/>
        <v>0.72375405119122294</v>
      </c>
    </row>
    <row r="40" spans="1:27" ht="21" x14ac:dyDescent="0.25">
      <c r="A40" s="2" t="s">
        <v>47</v>
      </c>
      <c r="B40" s="10" t="s">
        <v>48</v>
      </c>
      <c r="C40" s="11">
        <f>C10-C13*C35</f>
        <v>0.16844240790796977</v>
      </c>
      <c r="D40" s="11">
        <f>D10-D13*D35</f>
        <v>0.12804407395028067</v>
      </c>
      <c r="E40" s="11">
        <f t="shared" ref="E40:AA40" si="15">E10-E13*E35</f>
        <v>0.20725219742070261</v>
      </c>
      <c r="F40" s="11">
        <f t="shared" si="15"/>
        <v>0.17927151169226513</v>
      </c>
      <c r="G40" s="11">
        <f t="shared" si="15"/>
        <v>0.22664748505424381</v>
      </c>
      <c r="H40" s="11">
        <f t="shared" si="15"/>
        <v>0.19789037085298938</v>
      </c>
      <c r="I40" s="11">
        <f t="shared" si="15"/>
        <v>0.26919430547535106</v>
      </c>
      <c r="J40" s="11">
        <f t="shared" si="15"/>
        <v>0.21105405072843914</v>
      </c>
      <c r="K40" s="11">
        <f t="shared" si="15"/>
        <v>0.27911774939606826</v>
      </c>
      <c r="L40" s="11">
        <f t="shared" si="15"/>
        <v>0.24435362493420137</v>
      </c>
      <c r="M40" s="11">
        <f t="shared" si="15"/>
        <v>0.29889261815730211</v>
      </c>
      <c r="N40" s="11">
        <f t="shared" si="15"/>
        <v>0.2974289099056639</v>
      </c>
      <c r="O40" s="11">
        <f t="shared" si="15"/>
        <v>0.2570573561308046</v>
      </c>
      <c r="P40" s="11">
        <f t="shared" si="15"/>
        <v>0.3207652621041176</v>
      </c>
      <c r="Q40" s="11">
        <f t="shared" si="15"/>
        <v>0.38648196075323277</v>
      </c>
      <c r="R40" s="11">
        <f t="shared" si="15"/>
        <v>0.38243346563033465</v>
      </c>
      <c r="S40" s="11">
        <f t="shared" si="15"/>
        <v>0.4068945137632633</v>
      </c>
      <c r="T40" s="11">
        <f t="shared" si="15"/>
        <v>0.36890255098261659</v>
      </c>
      <c r="U40" s="11">
        <f t="shared" si="15"/>
        <v>0.38666032050183985</v>
      </c>
      <c r="V40" s="11">
        <f t="shared" si="15"/>
        <v>0.37714386917734843</v>
      </c>
      <c r="W40" s="11">
        <f t="shared" si="15"/>
        <v>0.30970407833179825</v>
      </c>
      <c r="X40" s="11">
        <f t="shared" si="15"/>
        <v>0.35187604839673081</v>
      </c>
      <c r="Y40" s="11">
        <f t="shared" si="15"/>
        <v>0.38561167044169331</v>
      </c>
      <c r="Z40" s="11">
        <f t="shared" si="15"/>
        <v>0.42371915806289234</v>
      </c>
      <c r="AA40" s="23">
        <f t="shared" si="15"/>
        <v>0.47383915919310665</v>
      </c>
    </row>
    <row r="42" spans="1:27" x14ac:dyDescent="0.2">
      <c r="A42" s="12"/>
      <c r="B42" s="13"/>
      <c r="W42" s="13" t="s">
        <v>49</v>
      </c>
    </row>
    <row r="43" spans="1:27" x14ac:dyDescent="0.2">
      <c r="B43" s="14"/>
      <c r="V43" s="2" t="s">
        <v>50</v>
      </c>
    </row>
    <row r="44" spans="1:27" x14ac:dyDescent="0.2">
      <c r="V44" s="2" t="s">
        <v>51</v>
      </c>
    </row>
    <row r="45" spans="1:27" x14ac:dyDescent="0.2">
      <c r="V45" s="2" t="s">
        <v>52</v>
      </c>
    </row>
  </sheetData>
  <mergeCells count="7">
    <mergeCell ref="A37:AA37"/>
    <mergeCell ref="A2:AA2"/>
    <mergeCell ref="A6:AA6"/>
    <mergeCell ref="A12:AA12"/>
    <mergeCell ref="A15:AA15"/>
    <mergeCell ref="A22:AA22"/>
    <mergeCell ref="A29:AA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Neuron Design</vt:lpstr>
      <vt:lpstr>Training Data</vt:lpstr>
      <vt:lpstr>Neuron Calculator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Kumar</dc:creator>
  <cp:lastModifiedBy>Nishant Kumar</cp:lastModifiedBy>
  <dcterms:created xsi:type="dcterms:W3CDTF">2026-01-29T22:32:11Z</dcterms:created>
  <dcterms:modified xsi:type="dcterms:W3CDTF">2026-01-29T22:44:02Z</dcterms:modified>
</cp:coreProperties>
</file>